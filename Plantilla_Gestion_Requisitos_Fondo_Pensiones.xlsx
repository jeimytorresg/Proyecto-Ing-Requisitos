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ía" sheetId="1" state="visible" r:id="rId3"/>
    <sheet name="01_Plan_Gestión" sheetId="2" state="visible" r:id="rId4"/>
    <sheet name="02_Registro_Requisitos" sheetId="3" state="visible" r:id="rId5"/>
    <sheet name="03_Depuración_Calidad" sheetId="4" state="visible" r:id="rId6"/>
    <sheet name="04_Líneas_Base" sheetId="5" state="visible" r:id="rId7"/>
    <sheet name="05_Solicitudes_Cambio" sheetId="6" state="visible" r:id="rId8"/>
    <sheet name="06_Análisis_Impacto" sheetId="7" state="visible" r:id="rId9"/>
    <sheet name="07_CCB_Decisiones" sheetId="8" state="visible" r:id="rId10"/>
    <sheet name="08_Versiones" sheetId="9" state="visible" r:id="rId11"/>
    <sheet name="09_Estado_Incidentes" sheetId="10" state="visible" r:id="rId12"/>
    <sheet name="10_Trazabilidad_RTM" sheetId="11" state="visible" r:id="rId13"/>
    <sheet name="11_Dashboard" sheetId="12" state="visible" r:id="rId14"/>
    <sheet name="12_Catálogos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<sst xmlns="http://schemas.openxmlformats.org/spreadsheetml/2006/main" count="1586" uniqueCount="737">
  <si>
    <t xml:space="preserve">Plantilla integral para la Gestión de Requisitos</t>
  </si>
  <si>
    <t xml:space="preserve">Libro de trabajo alineado con el proceso descrito en el documento base y con prácticas aplicables de ISO/IEC/IEEE 29148, SWEBOK y normas de ciclo de vida relacionadas.</t>
  </si>
  <si>
    <t xml:space="preserve">Propósito y alcance</t>
  </si>
  <si>
    <t xml:space="preserve">Utilice este libro para planificar la gestión, registrar y depurar requisitos, aprobar líneas base, controlar versiones y cambios, gestionar incidentes, mantener trazabilidad bidireccional y medir el proceso. La plantilla es adaptable a proyectos predictivos, ágiles e híbridos.</t>
  </si>
  <si>
    <t xml:space="preserve">Flujo recomendado de trabajo</t>
  </si>
  <si>
    <t xml:space="preserve">1. Planificar</t>
  </si>
  <si>
    <t xml:space="preserve">Defina convenciones, roles, herramientas, estados, métricas y autoridad de cambio.</t>
  </si>
  <si>
    <t xml:space="preserve">01_Plan_Gestión</t>
  </si>
  <si>
    <t xml:space="preserve">2. Registrar y depurar</t>
  </si>
  <si>
    <t xml:space="preserve">Documente atributos, evalúe calidad, valor, alcance, factibilidad y duplicidad.</t>
  </si>
  <si>
    <t xml:space="preserve">02_Registro_Requisitos / 03_Depuración_Calidad</t>
  </si>
  <si>
    <t xml:space="preserve">3. Aprobar línea base</t>
  </si>
  <si>
    <t xml:space="preserve">Congele el conjunto acordado para una versión o iteración y active el control formal.</t>
  </si>
  <si>
    <t xml:space="preserve">04_Líneas_Base</t>
  </si>
  <si>
    <t xml:space="preserve">4. Controlar evolución</t>
  </si>
  <si>
    <t xml:space="preserve">Registre solicitudes, analice impactos, decida en CCB, implemente, verifique y versione.</t>
  </si>
  <si>
    <t xml:space="preserve">05 a 09</t>
  </si>
  <si>
    <t xml:space="preserve">5. Trazar y medir</t>
  </si>
  <si>
    <t xml:space="preserve">Mantenga vínculos hacia atrás y adelante; revise cobertura, volatilidad e incidencias.</t>
  </si>
  <si>
    <t xml:space="preserve">10_Trazabilidad_RTM / 11_Dashboard</t>
  </si>
  <si>
    <t xml:space="preserve">Reglas de uso esenciales</t>
  </si>
  <si>
    <t xml:space="preserve">Identificación única</t>
  </si>
  <si>
    <t xml:space="preserve">No reutilice identificadores eliminados; mantenga un esquema estable (p. ej., RN-, RF-, RNF-, CR-, LB-, INC-).</t>
  </si>
  <si>
    <t xml:space="preserve">Aprobación</t>
  </si>
  <si>
    <t xml:space="preserve">No asigne una línea base a un requisito que no haya sido revisado y aprobado.</t>
  </si>
  <si>
    <t xml:space="preserve">Cambios</t>
  </si>
  <si>
    <t xml:space="preserve">No inicie diseño o implementación de un cambio sin su evaluación y decisión, salvo una vía rápida previamente autorizada.</t>
  </si>
  <si>
    <t xml:space="preserve">Trazabilidad</t>
  </si>
  <si>
    <t xml:space="preserve">Actualice la RTM durante el trabajo, no como una actividad retrospectiva al final.</t>
  </si>
  <si>
    <t xml:space="preserve">Evidencia</t>
  </si>
  <si>
    <t xml:space="preserve">Registre enlaces a repositorios, actas, pruebas, versiones, etiquetas o documentos aprobados.</t>
  </si>
  <si>
    <t xml:space="preserve">Contenido del libro</t>
  </si>
  <si>
    <t xml:space="preserve">Hoja</t>
  </si>
  <si>
    <t xml:space="preserve">Uso principal</t>
  </si>
  <si>
    <t xml:space="preserve">Plan de gestión de requisitos: roles, reglas, estados, líneas base, cambios, herramientas y métricas.</t>
  </si>
  <si>
    <t xml:space="preserve">02_Registro_Requisitos</t>
  </si>
  <si>
    <t xml:space="preserve">Repositorio maestro de requisitos y sus atributos.</t>
  </si>
  <si>
    <t xml:space="preserve">03_Depuración_Calidad</t>
  </si>
  <si>
    <t xml:space="preserve">Evaluación de alcance, valor, factibilidad y calidad de cada requisito.</t>
  </si>
  <si>
    <t xml:space="preserve">Registro de conjuntos aprobados y congelados.</t>
  </si>
  <si>
    <t xml:space="preserve">05_Solicitudes_Cambio</t>
  </si>
  <si>
    <t xml:space="preserve">Recepción y seguimiento de solicitudes de cambio.</t>
  </si>
  <si>
    <t xml:space="preserve">06_Análisis_Impacto</t>
  </si>
  <si>
    <t xml:space="preserve">Impacto en requisitos, arquitectura, código, pruebas, costo, plazo, riesgos y beneficios.</t>
  </si>
  <si>
    <t xml:space="preserve">07_CCB_Decisiones</t>
  </si>
  <si>
    <t xml:space="preserve">Decisiones formales del Comité de Control de Cambios.</t>
  </si>
  <si>
    <t xml:space="preserve">08_Versiones</t>
  </si>
  <si>
    <t xml:space="preserve">Historial de versiones y razón de cada modificación.</t>
  </si>
  <si>
    <t xml:space="preserve">09_Estado_Incidentes</t>
  </si>
  <si>
    <t xml:space="preserve">TBD, vacíos, duplicados, conflictos y otros incidentes.</t>
  </si>
  <si>
    <t xml:space="preserve">10_Trazabilidad_RTM</t>
  </si>
  <si>
    <t xml:space="preserve">Matriz de trazabilidad hacia atrás y hacia adelante.</t>
  </si>
  <si>
    <t xml:space="preserve">11_Dashboard</t>
  </si>
  <si>
    <t xml:space="preserve">Indicadores de estado, calidad, cambios, incidencias y trazabilidad.</t>
  </si>
  <si>
    <t xml:space="preserve">12_Catálogos</t>
  </si>
  <si>
    <t xml:space="preserve">Listas de valores, definiciones y referencias normativas.</t>
  </si>
  <si>
    <t xml:space="preserve">Plan de Gestión de Requisitos</t>
  </si>
  <si>
    <t xml:space="preserve">Defina cómo se identificarán, revisarán, aprobarán, versionarán, cambiarán y trazarán los requisitos durante el ciclo de vida.</t>
  </si>
  <si>
    <t xml:space="preserve">Identificación del proyecto</t>
  </si>
  <si>
    <t xml:space="preserve">Proyecto / producto</t>
  </si>
  <si>
    <t xml:space="preserve">Sistema de Atención Inteligente para Afiliados del Fondo de Pensiones</t>
  </si>
  <si>
    <t xml:space="preserve">Responsable del proyecto</t>
  </si>
  <si>
    <t xml:space="preserve">Gerencia General del Fondo de Pensiones / Equipo APE</t>
  </si>
  <si>
    <t xml:space="preserve">Versión del plan</t>
  </si>
  <si>
    <t xml:space="preserve">1.0</t>
  </si>
  <si>
    <t xml:space="preserve">Organización / cliente</t>
  </si>
  <si>
    <t xml:space="preserve">Fondo de Pensiones (supuesto: nombre no especificado en los documentos fuente; ajustar si corresponde)</t>
  </si>
  <si>
    <t xml:space="preserve">Gestor de requisitos</t>
  </si>
  <si>
    <t xml:space="preserve">María Valentina Samaniego Vásquez (BA)</t>
  </si>
  <si>
    <t xml:space="preserve">Fecha de vigencia</t>
  </si>
  <si>
    <t xml:space="preserve">Enfoque de ciclo de vida</t>
  </si>
  <si>
    <t xml:space="preserve">Híbrido</t>
  </si>
  <si>
    <t xml:space="preserve">Repositorio / herramienta</t>
  </si>
  <si>
    <t xml:space="preserve">Excel (este libro de gestión de requisitos)</t>
  </si>
  <si>
    <t xml:space="preserve">Estado</t>
  </si>
  <si>
    <t xml:space="preserve">Activo</t>
  </si>
  <si>
    <t xml:space="preserve">Decisiones y convenciones de gestión</t>
  </si>
  <si>
    <t xml:space="preserve">Elemento del plan</t>
  </si>
  <si>
    <t xml:space="preserve">Definición / decisión del proyecto</t>
  </si>
  <si>
    <t xml:space="preserve">Responsable</t>
  </si>
  <si>
    <t xml:space="preserve">Frecuencia / momento</t>
  </si>
  <si>
    <t xml:space="preserve">Evidencia / ubicación</t>
  </si>
  <si>
    <t xml:space="preserve">Referencia</t>
  </si>
  <si>
    <t xml:space="preserve">Esquema de identificación</t>
  </si>
  <si>
    <t xml:space="preserve">RN-###, RF-###, RNF-###, CR-###, LB-### e INC-###; los códigos no se reutilizan.</t>
  </si>
  <si>
    <t xml:space="preserve">Continua</t>
  </si>
  <si>
    <t xml:space="preserve">Registro maestro</t>
  </si>
  <si>
    <t xml:space="preserve">ISO/IEC/IEEE 29148</t>
  </si>
  <si>
    <t xml:space="preserve">Atributos mínimos</t>
  </si>
  <si>
    <t xml:space="preserve">ID, tipo, enunciado, fuente, justificación, prioridad, estado, versión, responsable, verificación y trazabilidad.</t>
  </si>
  <si>
    <t xml:space="preserve">Al registrar</t>
  </si>
  <si>
    <t xml:space="preserve">Criterios de calidad</t>
  </si>
  <si>
    <t xml:space="preserve">Necesario, dentro del alcance, factible, atómico, no ambiguo, completo, consistente, verificable y trazable.</t>
  </si>
  <si>
    <t xml:space="preserve">Analista / revisor</t>
  </si>
  <si>
    <t xml:space="preserve">Antes de aprobar</t>
  </si>
  <si>
    <t xml:space="preserve">ISO/IEC/IEEE 29148 / SWEBOK</t>
  </si>
  <si>
    <t xml:space="preserve">Depuración de requisitos</t>
  </si>
  <si>
    <t xml:space="preserve">Eliminar, diferir o simplificar requisitos fuera de alcance, de bajo valor, duplicados o innecesariamente complejos.</t>
  </si>
  <si>
    <t xml:space="preserve">Product Owner / patrocinador</t>
  </si>
  <si>
    <t xml:space="preserve">Por iteración o antes de validación</t>
  </si>
  <si>
    <t xml:space="preserve">SWEBOK</t>
  </si>
  <si>
    <t xml:space="preserve">Alineación del alcance</t>
  </si>
  <si>
    <t xml:space="preserve">Comparar alcance contra costo, plazo, capacidad y personal; negociar reducción o aumento de capacidad.</t>
  </si>
  <si>
    <t xml:space="preserve">Director del proyecto</t>
  </si>
  <si>
    <t xml:space="preserve">Por planificación / hito</t>
  </si>
  <si>
    <t xml:space="preserve">03 y 06</t>
  </si>
  <si>
    <t xml:space="preserve">Estados del requisito</t>
  </si>
  <si>
    <t xml:space="preserve">Propuesto → En análisis → Redactado → Revisado → Aprobado → Implementado → Verificado; con estados de excepción.</t>
  </si>
  <si>
    <t xml:space="preserve">Documento base</t>
  </si>
  <si>
    <t xml:space="preserve">Priorización</t>
  </si>
  <si>
    <t xml:space="preserve">MoSCoW, considerando valor, urgencia, riesgo y dependencias.</t>
  </si>
  <si>
    <t xml:space="preserve">Product Owner / negocio</t>
  </si>
  <si>
    <t xml:space="preserve">Por iteración / release</t>
  </si>
  <si>
    <t xml:space="preserve">Criterio de línea base</t>
  </si>
  <si>
    <t xml:space="preserve">Solo requisitos revisados, acordados y aprobados; alcance, versión, aprobadores y repositorio identificados.</t>
  </si>
  <si>
    <t xml:space="preserve">CCB / patrocinador</t>
  </si>
  <si>
    <t xml:space="preserve">Por release / iteración</t>
  </si>
  <si>
    <t xml:space="preserve">Versionado</t>
  </si>
  <si>
    <t xml:space="preserve">Incrementar versión al cambiar contenido; registrar autor, fecha, motivo, CR y línea base afectada.</t>
  </si>
  <si>
    <t xml:space="preserve">Gestor de configuración</t>
  </si>
  <si>
    <t xml:space="preserve">Cada cambio</t>
  </si>
  <si>
    <t xml:space="preserve">Recepción de cambios</t>
  </si>
  <si>
    <t xml:space="preserve">Toda solicitud se registra con origen, motivo, requisito y línea base afectados.</t>
  </si>
  <si>
    <t xml:space="preserve">Receptor de solicitudes</t>
  </si>
  <si>
    <t xml:space="preserve">Bajo demanda</t>
  </si>
  <si>
    <t xml:space="preserve">Análisis de impacto</t>
  </si>
  <si>
    <t xml:space="preserve">Evaluar requisitos, arquitectura, código, pruebas, documentos, seguridad, datos, costo, esfuerzo, plazo, riesgos y beneficios.</t>
  </si>
  <si>
    <t xml:space="preserve">Evaluador</t>
  </si>
  <si>
    <t xml:space="preserve">Antes de decisión</t>
  </si>
  <si>
    <t xml:space="preserve">Autoridad de decisión</t>
  </si>
  <si>
    <t xml:space="preserve">CCB representativo; en equipos pequeños puede ser una o dos personas con autoridad explícita.</t>
  </si>
  <si>
    <t xml:space="preserve">Presidente del CCB</t>
  </si>
  <si>
    <t xml:space="preserve">Vía rápida</t>
  </si>
  <si>
    <t xml:space="preserve">Permitida solo para cambios simples, reversibles, de bajo riesgo y sin impacto contractual; siempre debe registrarse.</t>
  </si>
  <si>
    <t xml:space="preserve">Product Owner / CCB</t>
  </si>
  <si>
    <t xml:space="preserve">05 y 07</t>
  </si>
  <si>
    <t xml:space="preserve">Práctica ágil</t>
  </si>
  <si>
    <t xml:space="preserve">Implementación y verificación</t>
  </si>
  <si>
    <t xml:space="preserve">Solo cambios aprobados; verificar conformidad antes del cierre y actualizar todos los artefactos afectados.</t>
  </si>
  <si>
    <t xml:space="preserve">Modificador / verificador</t>
  </si>
  <si>
    <t xml:space="preserve">Por cambio</t>
  </si>
  <si>
    <t xml:space="preserve">05, 08 y 10</t>
  </si>
  <si>
    <t xml:space="preserve">Gestión de incidentes</t>
  </si>
  <si>
    <t xml:space="preserve">Cada TBD, vacío, conflicto o duplicado tiene un responsable y fecha objetivo de resolución.</t>
  </si>
  <si>
    <t xml:space="preserve">Mantener vínculos hacia atrás (origen) y hacia adelante (diseño, código y pruebas).</t>
  </si>
  <si>
    <t xml:space="preserve">Analista / equipo</t>
  </si>
  <si>
    <t xml:space="preserve">Durante el trabajo</t>
  </si>
  <si>
    <t xml:space="preserve">Comunicación</t>
  </si>
  <si>
    <t xml:space="preserve">Notificar nuevas líneas base, decisiones y cambios aprobados a todos los grupos afectados.</t>
  </si>
  <si>
    <t xml:space="preserve">Gestor del proyecto</t>
  </si>
  <si>
    <t xml:space="preserve">Por evento</t>
  </si>
  <si>
    <t xml:space="preserve">Acta / correo / repositorio</t>
  </si>
  <si>
    <t xml:space="preserve">Métricas</t>
  </si>
  <si>
    <t xml:space="preserve">Estado, cobertura de trazabilidad, calidad, volatilidad, cambios abiertos y vencimiento de incidentes.</t>
  </si>
  <si>
    <t xml:space="preserve">Semanal / por iteración</t>
  </si>
  <si>
    <t xml:space="preserve">Auditoría y retención</t>
  </si>
  <si>
    <t xml:space="preserve">Conservar versiones aprobadas, actas, evidencia de verificación y relaciones de trazabilidad durante el periodo definido.</t>
  </si>
  <si>
    <t xml:space="preserve">Por hito</t>
  </si>
  <si>
    <t xml:space="preserve">Repositorio del proyecto</t>
  </si>
  <si>
    <t xml:space="preserve">ISO/IEC/IEEE 15289</t>
  </si>
  <si>
    <t xml:space="preserve">Registro Maestro de Requisitos</t>
  </si>
  <si>
    <t xml:space="preserve">Registre una fila por requisito. Mantenga identificación única, atributos suficientes, estado, versión, línea base y evidencia de aprobación.</t>
  </si>
  <si>
    <t xml:space="preserve">ID</t>
  </si>
  <si>
    <t xml:space="preserve">Tipo</t>
  </si>
  <si>
    <t xml:space="preserve">Título</t>
  </si>
  <si>
    <t xml:space="preserve">Enunciado del requisito</t>
  </si>
  <si>
    <t xml:space="preserve">Fuente / origen</t>
  </si>
  <si>
    <t xml:space="preserve">Justificación / valor</t>
  </si>
  <si>
    <t xml:space="preserve">Prioridad</t>
  </si>
  <si>
    <t xml:space="preserve">Riesgo</t>
  </si>
  <si>
    <t xml:space="preserve">Complejidad</t>
  </si>
  <si>
    <t xml:space="preserve">Criterios de aceptación</t>
  </si>
  <si>
    <t xml:space="preserve">Método de verificación</t>
  </si>
  <si>
    <t xml:space="preserve">Versión</t>
  </si>
  <si>
    <t xml:space="preserve">Línea base</t>
  </si>
  <si>
    <t xml:space="preserve">Fecha creación</t>
  </si>
  <si>
    <t xml:space="preserve">Última modificación</t>
  </si>
  <si>
    <t xml:space="preserve">Dependencias</t>
  </si>
  <si>
    <t xml:space="preserve">Conflictos / TBD</t>
  </si>
  <si>
    <t xml:space="preserve">Release / iteración</t>
  </si>
  <si>
    <t xml:space="preserve">Aprobador</t>
  </si>
  <si>
    <t xml:space="preserve">Fecha aprobación</t>
  </si>
  <si>
    <t xml:space="preserve">Observaciones</t>
  </si>
  <si>
    <t xml:space="preserve">UR-01</t>
  </si>
  <si>
    <t xml:space="preserve">Funcional</t>
  </si>
  <si>
    <t xml:space="preserve">Buscar afiliado por cédula o nombre</t>
  </si>
  <si>
    <t xml:space="preserve">El sistema deberá permitir buscar un afiliado por número de cédula (10 dígitos) o nombre completo (mínimo 3 caracteres) y mostrar su información consolidada en una sola pantalla en un tiempo máximo de 3 segundos. (RF-004)</t>
  </si>
  <si>
    <t xml:space="preserve">Historia de usuario (Backlog ágil, Equipo APE) — EP-03; SRS / Catálogo de Requisitos / Casos de Uso</t>
  </si>
  <si>
    <t xml:space="preserve">Reducir el tiempo de búsqueda de información del afiliado a ≤ 2 minutos y consolidar los datos en una sola pantalla (EP-03, OBJ-03).</t>
  </si>
  <si>
    <t xml:space="preserve">Obligatorio (Must)</t>
  </si>
  <si>
    <t xml:space="preserve">Medio</t>
  </si>
  <si>
    <t xml:space="preserve">Media</t>
  </si>
  <si>
    <t xml:space="preserve">Dado que el asesor ingresa una cédula válida existente, cuando ejecuta la búsqueda, entonces el sistema muestra el perfil del afiliado en ≤ 3 segundos. Si no existe, muestra mensaje de sin resultados. (RF-004)</t>
  </si>
  <si>
    <t xml:space="preserve">Prueba</t>
  </si>
  <si>
    <t xml:space="preserve">Analista funcional (Equipo APE)</t>
  </si>
  <si>
    <t xml:space="preserve">Revisado</t>
  </si>
  <si>
    <t xml:space="preserve">RNF-001, DEP-01 (sistema legacy)</t>
  </si>
  <si>
    <t xml:space="preserve">Sin definir: manejo de homónimos y paginación de resultados por nombre (ver 03_Depuración_Calidad).</t>
  </si>
  <si>
    <t xml:space="preserve">Release 1</t>
  </si>
  <si>
    <t xml:space="preserve">Aprobada con observaciones en validación BDD (2026-07-18): faltan reglas para homónimos y volumen de resultados. Ver 03_Depuración_Calidad.</t>
  </si>
  <si>
    <t xml:space="preserve">UR-02</t>
  </si>
  <si>
    <t xml:space="preserve">Registrar nueva solicitud sin duplicados</t>
  </si>
  <si>
    <t xml:space="preserve">El sistema deberá permitir registrar una nueva solicitud indicando: afiliado vinculado, tipo de solicitud (catálogo), descripción (máx. 500 caracteres), prioridad y asesor asignado. Antes de crear, el sistema deberá verificar duplicados (mismo tipo y afiliado con estado abierto). (RF-005)</t>
  </si>
  <si>
    <t xml:space="preserve">Historia de usuario (Backlog ágil, Equipo APE) — EP-04; SRS / Catálogo de Requisitos / Casos de Uso</t>
  </si>
  <si>
    <t xml:space="preserve">Automatizar al menos el 60% de la gestión de solicitudes, eliminando el registro manual en hojas de cálculo (EP-04, BR-01/BR-03).</t>
  </si>
  <si>
    <t xml:space="preserve">Dado que el formulario está completo y no hay duplicado, cuando el asesor confirma, entonces el sistema crea la solicitud con ID único y estado 'Pendiente'. Si hay duplicado, el sistema muestra alerta antes de proceder. (RF-005)</t>
  </si>
  <si>
    <t xml:space="preserve">RNF-001, RN-003, RF-004 (afiliado ya localizado)</t>
  </si>
  <si>
    <t xml:space="preserve">Sin definir: tiempo máximo de respuesta al confirmar el registro (ver 03_Depuración_Calidad).</t>
  </si>
  <si>
    <t xml:space="preserve">Aprobada con observaciones en validación BDD (2026-07-18): falta un SLA de respuesta al confirmar.</t>
  </si>
  <si>
    <t xml:space="preserve">UR-03</t>
  </si>
  <si>
    <t xml:space="preserve">Ver estado de solicitud en tiempo real</t>
  </si>
  <si>
    <t xml:space="preserve">El sistema deberá mostrar el estado actual de cada solicitud en tiempo real, con marca de tiempo de cada cambio de estado registrado en el historial. (RF-006)</t>
  </si>
  <si>
    <t xml:space="preserve">Historia de usuario (Backlog ágil, Equipo APE) — EP-05; SRS / Catálogo de Requisitos / Casos de Uso</t>
  </si>
  <si>
    <t xml:space="preserve">Reducir el tiempo de resolución en 50% y garantizar trazabilidad completa desde apertura hasta cierre (EP-05, BR-01/BR-05).</t>
  </si>
  <si>
    <t xml:space="preserve">Alto</t>
  </si>
  <si>
    <t xml:space="preserve">Baja</t>
  </si>
  <si>
    <t xml:space="preserve">Dado que una solicitud cambia de estado, entonces el nuevo estado y la fecha/hora son visibles de forma inmediata sin necesidad de recargar la página. (RF-006)</t>
  </si>
  <si>
    <t xml:space="preserve">Rechazado</t>
  </si>
  <si>
    <t xml:space="preserve">RNF-001, RNF-010, RN-002, RN-006</t>
  </si>
  <si>
    <t xml:space="preserve">Crítico: 'tiempo real' no está cuantificado (sin mecanismo ni frecuencia definidos); no se define comportamiento ante actualización concurrente por dos usuarios.</t>
  </si>
  <si>
    <t xml:space="preserve">Rechazada en validación BDD (2026-07-18): ambigüedad crítica en 'tiempo real', a diferencia de UR-11 (RF-013) que sí define 5 min de desfase. Requiere reescritura antes de pasar a desarrollo.</t>
  </si>
  <si>
    <t xml:space="preserve">UR-04</t>
  </si>
  <si>
    <t xml:space="preserve">Consultar historial completo del afiliado</t>
  </si>
  <si>
    <t xml:space="preserve">El sistema deberá permitir consultar el historial completo de solicitudes y trámites de un afiliado, mostrando estado, fechas, responsable asignado y documentos adjuntos vinculados. (RF-007)</t>
  </si>
  <si>
    <t xml:space="preserve">Entregar información consolidada del afiliado desde una sola pantalla para el análisis de beneficios (EP-03).</t>
  </si>
  <si>
    <t xml:space="preserve">Dado que el analista accede al perfil de un afiliado, cuando selecciona 'Historial', entonces el sistema muestra todas las solicitudes ordenadas cronológicamente con sus estados y documentos. (RF-007)</t>
  </si>
  <si>
    <t xml:space="preserve">RNF-010, RF-004 (perfil del afiliado)</t>
  </si>
  <si>
    <t xml:space="preserve">Sin definir: paginación/carga para afiliados con historial extenso (ver 03_Depuración_Calidad).</t>
  </si>
  <si>
    <t xml:space="preserve">Aprobada con observaciones en validación BDD (2026-07-18): riesgo ya señalado en auditoría de BA Fase 1.</t>
  </si>
  <si>
    <t xml:space="preserve">UR-05</t>
  </si>
  <si>
    <t xml:space="preserve">Asignar y reasignar solicitudes con justificación</t>
  </si>
  <si>
    <t xml:space="preserve">El sistema deberá permitir asignar o reasignar una solicitud a un asesor o área, registrando el responsable anterior, el nuevo responsable, la fecha y una justificación obligatoria. (RF-008)</t>
  </si>
  <si>
    <t xml:space="preserve">Garantizar la trazabilidad completa de cada solicitud desde apertura hasta cierre (EP-05, BR-01/BR-05).</t>
  </si>
  <si>
    <t xml:space="preserve">Dado que el analista reasigna una solicitud con justificación, cuando confirma, entonces el historial registra el cambio con todos los datos requeridos de forma inmediata. (RF-008)</t>
  </si>
  <si>
    <t xml:space="preserve">RNF-010, RN-001</t>
  </si>
  <si>
    <t xml:space="preserve">Historia agrupa dos capacidades ('asignar' y 'reasignar'), igual que ocurría con RF-008 antes de dividirse en RF-008a/b. No se define destino inactivo/inexistente.</t>
  </si>
  <si>
    <t xml:space="preserve">Aprobada con observaciones en validación BDD (2026-07-18): se recomienda dividir en UR-05a/UR-05b (criterio INVEST-Small).</t>
  </si>
  <si>
    <t xml:space="preserve">UR-06</t>
  </si>
  <si>
    <t xml:space="preserve">Generar reportes de atención por período</t>
  </si>
  <si>
    <t xml:space="preserve">El sistema deberá permitir generar reportes de atención filtrables por período (diario/semanal/mensual/rango), área y tipo de solicitud, mostrando: tiempo promedio de resolución, volumen de solicitudes, tasa de resolución dentro del SLA y solicitudes vencidas, con opción de descarga en PDF o Excel. (RF-012)</t>
  </si>
  <si>
    <t xml:space="preserve">Historia de usuario (Backlog ágil, Equipo APE) — EP-06; SRS / Catálogo de Requisitos / Casos de Uso</t>
  </si>
  <si>
    <t xml:space="preserve">Incrementar la satisfacción del afiliado en al menos 30% mediante reportes de atención disponibles en tiempo real (EP-06, BR-01/BR-02, OBJ-04).</t>
  </si>
  <si>
    <t xml:space="preserve">Alta</t>
  </si>
  <si>
    <t xml:space="preserve">Dado que el supervisor aplica filtros válidos y hace clic en 'Generar reporte', entonces el sistema lo genera en ≤ 5 segundos con todos los indicadores definidos. El archivo descargado contiene la misma información visible en pantalla. (RF-012)</t>
  </si>
  <si>
    <t xml:space="preserve">RNF-002</t>
  </si>
  <si>
    <t xml:space="preserve">Sin definir: límite máximo de registros o rango de fechas exportable.</t>
  </si>
  <si>
    <t xml:space="preserve">Aprobada con observaciones en validación BDD (2026-07-18): la precisión depende de los datos registrados en UC-02/UC-03.</t>
  </si>
  <si>
    <t xml:space="preserve">UR-07</t>
  </si>
  <si>
    <t xml:space="preserve">Recibir notificación por cambio de estado</t>
  </si>
  <si>
    <t xml:space="preserve">El sistema deberá enviar automáticamente un correo electrónico al afiliado registrado cuando su solicitud cambie de estado, indicando: nuevo estado, fecha del cambio y canal de contacto para consultas. (RF-010)</t>
  </si>
  <si>
    <t xml:space="preserve">Mantener informado al afiliado y reducir consultas de seguimiento manuales (EP-04).</t>
  </si>
  <si>
    <t xml:space="preserve">Importante (Should)</t>
  </si>
  <si>
    <t xml:space="preserve">Dado que una solicitud cambia de estado, entonces el sistema envía el correo de notificación al afiliado en ≤ 2 minutos vía servidor SMTP institucional. (RF-010)</t>
  </si>
  <si>
    <t xml:space="preserve">DEP-03 (servidor SMTP institucional)</t>
  </si>
  <si>
    <t xml:space="preserve">Crítico: no se define qué ocurre si el correo del afiliado es inválido, está desactualizado o el envío falla (rebote). El actor 'afiliado' no es usuario del sistema (proceso de backend).</t>
  </si>
  <si>
    <t xml:space="preserve">Rechazada en validación BDD (2026-07-18): falta manejo de fallos de envío. Requiere reescritura antes de pasar a desarrollo.</t>
  </si>
  <si>
    <t xml:space="preserve">UR-08</t>
  </si>
  <si>
    <t xml:space="preserve">Crear, modificar y desactivar cuentas de usuario</t>
  </si>
  <si>
    <t xml:space="preserve">El sistema deberá permitir al administrador crear, modificar y desactivar cuentas de usuario, registrando fecha, motivo y administrador responsable de cada acción. (RF-003)</t>
  </si>
  <si>
    <t xml:space="preserve">Historia de usuario (Backlog ágil, Equipo APE) — EP-02; SRS / Catálogo de Requisitos / Casos de Uso</t>
  </si>
  <si>
    <t xml:space="preserve">Controlar el acceso por roles (RN-004) y mantener registro completo de cada acción administrativa (EP-02).</t>
  </si>
  <si>
    <t xml:space="preserve">Dado que el administrador desactiva una cuenta, entonces el usuario no puede iniciar sesión y el evento queda en el log con motivo registrado. (RF-003)</t>
  </si>
  <si>
    <t xml:space="preserve">RNF-005, RNF-010, RNF-012, DEP-02</t>
  </si>
  <si>
    <t xml:space="preserve">Historia agrupa tres capacidades ('crear', 'modificar', 'desactivar') en un solo enunciado; posible tamaño excesivo para un sprint (INVEST-Small).</t>
  </si>
  <si>
    <t xml:space="preserve">Aprobada con observaciones en validación BDD (2026-07-18): se recomienda dividir en UR-08a/b/c.</t>
  </si>
  <si>
    <t xml:space="preserve">UR-09</t>
  </si>
  <si>
    <t xml:space="preserve">Adjuntar documentos digitales a una solicitud</t>
  </si>
  <si>
    <t xml:space="preserve">El sistema deberá permitir adjuntar archivos digitales (PDF, JPG, PNG, hasta 10 MB por archivo) a una solicitud, permitir visualizarlos en línea y descargarlos. (RF-009)</t>
  </si>
  <si>
    <t xml:space="preserve">Mantener el expediente digital completo de cada solicitud (EP-05).</t>
  </si>
  <si>
    <t xml:space="preserve">Dado que el usuario adjunta un PDF de 5 MB, cuando completa la carga, entonces el archivo aparece vinculado a la solicitud y puede ser descargado por otros usuarios con acceso. (RF-009)</t>
  </si>
  <si>
    <t xml:space="preserve">Ninguna registrada en el catálogo</t>
  </si>
  <si>
    <t xml:space="preserve">Crítico: el catálogo define el límite de tamaño por archivo (10 MB) pero no la cantidad máxima de archivos adjuntos por solicitud.</t>
  </si>
  <si>
    <t xml:space="preserve">Rechazada en validación BDD (2026-07-18): falta definir el máximo de adjuntos por solicitud antes de desarrollo.</t>
  </si>
  <si>
    <t xml:space="preserve">UR-10</t>
  </si>
  <si>
    <t xml:space="preserve">Autenticarse con credenciales institucionales</t>
  </si>
  <si>
    <t xml:space="preserve">El sistema deberá cerrar automáticamente la sesión del usuario tras 30 minutos de inactividad, requiriendo reautenticación para continuar y mostrando advertencia 5 minutos antes del cierre automático. (RF-014)</t>
  </si>
  <si>
    <t xml:space="preserve">Historia de usuario (Backlog ágil, Equipo APE) — EP-01; SRS / Catálogo de Requisitos / Casos de Uso</t>
  </si>
  <si>
    <t xml:space="preserve">Cumplir con la LOPDP en el tratamiento de datos de afiliados y las reglas de seguridad SEG-001 a SEG-005 (EP-01, BR-04).</t>
  </si>
  <si>
    <t xml:space="preserve">Dado que el usuario no realiza acción alguna durante 30 minutos, entonces el sistema cierra la sesión y redirige a la pantalla de inicio de sesión. (RF-014)</t>
  </si>
  <si>
    <t xml:space="preserve">RNF-004, RNF-006, RNF-011, SEG-005</t>
  </si>
  <si>
    <t xml:space="preserve">Crítico: el enunciado de la historia habla de 'autenticarse' pero el criterio de aceptación (RF-014) es sobre cierre de sesión por inactividad, no sobre el login en sí (desacople historia/criterio). No se define comportamiento ante sesiones concurrentes.</t>
  </si>
  <si>
    <t xml:space="preserve">Rechazada en validación BDD (2026-07-18): se recomienda separar en dos historias (login vs. cierre por inactividad).</t>
  </si>
  <si>
    <t xml:space="preserve">UR-11</t>
  </si>
  <si>
    <t xml:space="preserve">Ver dashboard gerencial con indicadores clave</t>
  </si>
  <si>
    <t xml:space="preserve">El sistema deberá mostrar un dashboard con indicadores actualizados cada 5 minutos: solicitudes abiertas, solicitudes vencidas, tiempo promedio de resolución del día y tasa de resolución dentro del SLA. (RF-013)</t>
  </si>
  <si>
    <t xml:space="preserve">Disponer de reportes de atención en tiempo real para la toma de decisiones gerenciales (EP-06, OBJ-04).</t>
  </si>
  <si>
    <t xml:space="preserve">Bajo</t>
  </si>
  <si>
    <t xml:space="preserve">Dado que el supervisor accede al dashboard, entonces los indicadores muestran datos actualizados con máximo 5 minutos de desfase respecto al estado real del sistema. (RF-013)</t>
  </si>
  <si>
    <t xml:space="preserve">Aprobado</t>
  </si>
  <si>
    <t xml:space="preserve">LB-001</t>
  </si>
  <si>
    <t xml:space="preserve">RNF-002, RN-002</t>
  </si>
  <si>
    <t xml:space="preserve">Ninguno.</t>
  </si>
  <si>
    <t xml:space="preserve">CCB / Equipo APE</t>
  </si>
  <si>
    <t xml:space="preserve">Aprobada sin observaciones en validación BDD (2026-07-18) — lista para BDD (Definition of Ready cumplida).</t>
  </si>
  <si>
    <t xml:space="preserve">UR-12</t>
  </si>
  <si>
    <t xml:space="preserve">Registrar anotaciones internas en una solicitud</t>
  </si>
  <si>
    <t xml:space="preserve">El sistema deberá permitir a los asesores registrar comentarios internos en una solicitud, visibles únicamente para el personal del fondo de pensiones y bajo ninguna circunstancia para el afiliado. (RF-011)</t>
  </si>
  <si>
    <t xml:space="preserve">Mantener trazabilidad completa de todos los cambios y anotaciones internas de una solicitud (EP-05, RN-005).</t>
  </si>
  <si>
    <t xml:space="preserve">Dado que el asesor registra una anotación, cuando la guarda, entonces es visible para otros asesores pero no aparece en ninguna pantalla ni notificación dirigida al afiliado. (RF-011)</t>
  </si>
  <si>
    <t xml:space="preserve">RN-005</t>
  </si>
  <si>
    <t xml:space="preserve">Sin definir: longitud máxima del texto de la anotación interna.</t>
  </si>
  <si>
    <t xml:space="preserve">Aprobada con observaciones en validación BDD (2026-07-18): definir límite de caracteres, análogo a RF-005 (500 caracteres).</t>
  </si>
  <si>
    <t xml:space="preserve">Depuración, Alineación de Alcance y Calidad</t>
  </si>
  <si>
    <t xml:space="preserve">Evalúe si el requisito debe conservarse, modificarse, diferirse o eliminarse. El puntaje orienta la revisión, pero no sustituye el juicio profesional.</t>
  </si>
  <si>
    <t xml:space="preserve">ID requisito</t>
  </si>
  <si>
    <t xml:space="preserve">Revisor</t>
  </si>
  <si>
    <t xml:space="preserve">Dentro del alcance</t>
  </si>
  <si>
    <t xml:space="preserve">Valor / ROI adecuado</t>
  </si>
  <si>
    <t xml:space="preserve">Necesario / prioritario</t>
  </si>
  <si>
    <t xml:space="preserve">Factible</t>
  </si>
  <si>
    <t xml:space="preserve">Ajusta a capacidad</t>
  </si>
  <si>
    <t xml:space="preserve">Atómico</t>
  </si>
  <si>
    <t xml:space="preserve">No ambiguo</t>
  </si>
  <si>
    <t xml:space="preserve">Completo</t>
  </si>
  <si>
    <t xml:space="preserve">Consistente</t>
  </si>
  <si>
    <t xml:space="preserve">Verificable</t>
  </si>
  <si>
    <t xml:space="preserve">Trazable</t>
  </si>
  <si>
    <t xml:space="preserve">Libre de solución</t>
  </si>
  <si>
    <t xml:space="preserve">Simplificado</t>
  </si>
  <si>
    <t xml:space="preserve">¿Duplicado?</t>
  </si>
  <si>
    <t xml:space="preserve">Hallazgos / acciones</t>
  </si>
  <si>
    <t xml:space="preserve">Decisión</t>
  </si>
  <si>
    <t xml:space="preserve">Fecha revisión</t>
  </si>
  <si>
    <t xml:space="preserve">Puntaje calidad</t>
  </si>
  <si>
    <t xml:space="preserve">Resultado</t>
  </si>
  <si>
    <t xml:space="preserve">Equipo APE — Validación BDD</t>
  </si>
  <si>
    <t xml:space="preserve">Sí</t>
  </si>
  <si>
    <t xml:space="preserve">No</t>
  </si>
  <si>
    <t xml:space="preserve">No define qué ocurre si la búsqueda por nombre devuelve varios afiliados homónimos, ni un límite/paginación de resultados.</t>
  </si>
  <si>
    <t xml:space="preserve">Modificar</t>
  </si>
  <si>
    <t xml:space="preserve">No define un tiempo máximo de respuesta al confirmar el registro de la solicitud (sí define el de búsqueda, RF-004 ≤3s).</t>
  </si>
  <si>
    <t xml:space="preserve">'Tiempo real' no está cuantificado (sin mecanismo ni frecuencia de actualización); no se define comportamiento ante actualización concurrente por dos usuarios.</t>
  </si>
  <si>
    <t xml:space="preserve">No define paginación ni límite para afiliados con historial extenso de solicitudes y adjuntos.</t>
  </si>
  <si>
    <t xml:space="preserve">Agrupa dos capacidades ('asignar' y 'reasignar') en un solo enunciado; podría exceder el tamaño recomendado para un sprint; no define destino inactivo/inexistente.</t>
  </si>
  <si>
    <t xml:space="preserve">No define un límite máximo de registros o rango de fechas exportable en el reporte.</t>
  </si>
  <si>
    <t xml:space="preserve">No define qué ocurre si el correo del afiliado es inválido, está desactualizado o el envío falla; el actor 'afiliado' no es usuario del sistema (proceso de backend).</t>
  </si>
  <si>
    <t xml:space="preserve">Agrupa tres capacidades ('crear', 'modificar', 'desactivar') en un solo enunciado; posible tamaño excesivo para un sprint.</t>
  </si>
  <si>
    <t xml:space="preserve">Define el límite de tamaño por archivo (10 MB) pero no la cantidad máxima de archivos adjuntos por solicitud.</t>
  </si>
  <si>
    <t xml:space="preserve">Desacople entre el enunciado ('autenticarse') y el criterio de aceptación (RF-014, cierre de sesión por inactividad); no define sesiones concurrentes desde dos dispositivos.</t>
  </si>
  <si>
    <t xml:space="preserve">Sin hallazgos. Cumple Definition of Ready.</t>
  </si>
  <si>
    <t xml:space="preserve">Conservar</t>
  </si>
  <si>
    <t xml:space="preserve">No define una longitud máxima para el texto de la anotación interna.</t>
  </si>
  <si>
    <t xml:space="preserve">Registro de Líneas Base</t>
  </si>
  <si>
    <t xml:space="preserve">Una línea base es un conjunto revisado, acordado y aprobado para una versión o iteración. Toda modificación posterior debe seguir el control de cambios.</t>
  </si>
  <si>
    <t xml:space="preserve">ID línea base</t>
  </si>
  <si>
    <t xml:space="preserve">Nombre / release</t>
  </si>
  <si>
    <t xml:space="preserve">Alcance incluido</t>
  </si>
  <si>
    <t xml:space="preserve">Fecha propuesta</t>
  </si>
  <si>
    <t xml:space="preserve">Aprobada por</t>
  </si>
  <si>
    <t xml:space="preserve">N.º requisitos</t>
  </si>
  <si>
    <t xml:space="preserve">Control de cambios activo</t>
  </si>
  <si>
    <t xml:space="preserve">Repositorio / etiqueta</t>
  </si>
  <si>
    <t xml:space="preserve">Sustituye a</t>
  </si>
  <si>
    <t xml:space="preserve">Release 1 - MVP (Módulo de Atención al Afiliado)</t>
  </si>
  <si>
    <t xml:space="preserve">UR-11 (RF-013, dashboard gerencial) — único requisito aprobado sin observaciones en la validación BDD</t>
  </si>
  <si>
    <t xml:space="preserve">Propuesta</t>
  </si>
  <si>
    <t xml:space="preserve">Este libro — hoja 02_Registro_Requisitos, columna Línea base = LB-001</t>
  </si>
  <si>
    <t xml:space="preserve">Línea base inicial propuesta con el único requisito que superó la validación BDD sin observaciones. Ampliar cuando el resto del backlog (UR-01 a UR-10, UR-12) resuelva los hallazgos registrados en 03_Depuración_Calidad y 09_Estado_Incidentes.</t>
  </si>
  <si>
    <t xml:space="preserve">Registro y Seguimiento de Solicitudes de Cambio</t>
  </si>
  <si>
    <t xml:space="preserve">Todo cambio debe registrarse, evaluarse y decidirse antes de su implementación. Use la vía rápida solo cuando esté autorizada por el plan.</t>
  </si>
  <si>
    <t xml:space="preserve">ID cambio</t>
  </si>
  <si>
    <t xml:space="preserve">Fecha solicitud</t>
  </si>
  <si>
    <t xml:space="preserve">Originador</t>
  </si>
  <si>
    <t xml:space="preserve">Requisitos afectados</t>
  </si>
  <si>
    <t xml:space="preserve">Línea base afectada</t>
  </si>
  <si>
    <t xml:space="preserve">Descripción del cambio</t>
  </si>
  <si>
    <t xml:space="preserve">Motivo / necesidad</t>
  </si>
  <si>
    <t xml:space="preserve">¿Vía rápida?</t>
  </si>
  <si>
    <t xml:space="preserve">Fecha límite análisis</t>
  </si>
  <si>
    <t xml:space="preserve">Decisión CCB</t>
  </si>
  <si>
    <t xml:space="preserve">Fecha decisión</t>
  </si>
  <si>
    <t xml:space="preserve">Responsable implementación</t>
  </si>
  <si>
    <t xml:space="preserve">Release objetivo</t>
  </si>
  <si>
    <t xml:space="preserve">Estado verificación</t>
  </si>
  <si>
    <t xml:space="preserve">Fecha cierre</t>
  </si>
  <si>
    <t xml:space="preserve">Evidencia / enlace</t>
  </si>
  <si>
    <t xml:space="preserve">CR-001</t>
  </si>
  <si>
    <t xml:space="preserve">Responsable comercial</t>
  </si>
  <si>
    <t xml:space="preserve">RF-001</t>
  </si>
  <si>
    <t xml:space="preserve">Permitir autenticación mediante proveedor externo.</t>
  </si>
  <si>
    <t xml:space="preserve">Reducir fricción de registro</t>
  </si>
  <si>
    <t xml:space="preserve">Registrada</t>
  </si>
  <si>
    <t xml:space="preserve">Arquitecto</t>
  </si>
  <si>
    <t xml:space="preserve">Release 2</t>
  </si>
  <si>
    <t xml:space="preserve">Pendiente</t>
  </si>
  <si>
    <t xml:space="preserve">EJEMPLO</t>
  </si>
  <si>
    <t xml:space="preserve">Análisis de Impacto de Cambios</t>
  </si>
  <si>
    <t xml:space="preserve">Evalúe sistemáticamente los efectos técnicos, operativos y de negocio. Las escalas calculadas son orientativas y deben acompañarse de una recomendación argumentada.</t>
  </si>
  <si>
    <t xml:space="preserve">Requisitos / objetivos afectados</t>
  </si>
  <si>
    <t xml:space="preserve">Beneficios esperados</t>
  </si>
  <si>
    <t xml:space="preserve">Diseño / arquitectura</t>
  </si>
  <si>
    <t xml:space="preserve">Código / componentes</t>
  </si>
  <si>
    <t xml:space="preserve">Casos de prueba</t>
  </si>
  <si>
    <t xml:space="preserve">Documentación / capacitación</t>
  </si>
  <si>
    <t xml:space="preserve">Seguridad / privacidad</t>
  </si>
  <si>
    <t xml:space="preserve">Datos / interoperabilidad</t>
  </si>
  <si>
    <t xml:space="preserve">Esfuerzo (horas)</t>
  </si>
  <si>
    <t xml:space="preserve">Costo estimado</t>
  </si>
  <si>
    <t xml:space="preserve">Retraso (días)</t>
  </si>
  <si>
    <t xml:space="preserve">Riesgo técnico (1-5)</t>
  </si>
  <si>
    <t xml:space="preserve">Riesgo negocio (1-5)</t>
  </si>
  <si>
    <t xml:space="preserve">Beneficio (1-5)</t>
  </si>
  <si>
    <t xml:space="preserve">Urgencia (1-5)</t>
  </si>
  <si>
    <t xml:space="preserve">Impacto estimado (1-5)</t>
  </si>
  <si>
    <t xml:space="preserve">Valor / urgencia (1-5)</t>
  </si>
  <si>
    <t xml:space="preserve">Alternativas</t>
  </si>
  <si>
    <t xml:space="preserve">Recomendación</t>
  </si>
  <si>
    <t xml:space="preserve">RF-001; RNF-003</t>
  </si>
  <si>
    <t xml:space="preserve">Menor abandono en el registro</t>
  </si>
  <si>
    <t xml:space="preserve">Agregar adaptador OAuth</t>
  </si>
  <si>
    <t xml:space="preserve">Módulo de identidad</t>
  </si>
  <si>
    <t xml:space="preserve">CP-010 a CP-018</t>
  </si>
  <si>
    <t xml:space="preserve">Manual de usuario y arquitectura</t>
  </si>
  <si>
    <t xml:space="preserve">Revisar manejo de tokens</t>
  </si>
  <si>
    <t xml:space="preserve">Nuevo identificador externo</t>
  </si>
  <si>
    <t xml:space="preserve">Mantener autenticación local como alternativa</t>
  </si>
  <si>
    <t xml:space="preserve">Aprobar con controles de seguridad</t>
  </si>
  <si>
    <t xml:space="preserve">Comité de Control de Cambios (CCB): Decisiones</t>
  </si>
  <si>
    <t xml:space="preserve">Documente la representación, el análisis revisado, la decisión, sus condiciones y la comunicación a los grupos afectados.</t>
  </si>
  <si>
    <t xml:space="preserve">ID decisión</t>
  </si>
  <si>
    <t xml:space="preserve">Fecha reunión / decisión</t>
  </si>
  <si>
    <t xml:space="preserve">Miembros participantes</t>
  </si>
  <si>
    <t xml:space="preserve">¿Quórum?</t>
  </si>
  <si>
    <t xml:space="preserve">Resumen del impacto</t>
  </si>
  <si>
    <t xml:space="preserve">Condiciones / restricciones</t>
  </si>
  <si>
    <t xml:space="preserve">Autoridad final</t>
  </si>
  <si>
    <t xml:space="preserve">Notificación enviada</t>
  </si>
  <si>
    <t xml:space="preserve">Acta / evidencia</t>
  </si>
  <si>
    <t xml:space="preserve">DEC-001</t>
  </si>
  <si>
    <t xml:space="preserve">Director proyecto; Product Owner; Arquitecto; QA; Cliente</t>
  </si>
  <si>
    <t xml:space="preserve">Impacto medio; beneficio alto; requiere control de tokens.</t>
  </si>
  <si>
    <t xml:space="preserve">Aprobar</t>
  </si>
  <si>
    <t xml:space="preserve">Incluir pruebas de seguridad y plan de reversión.</t>
  </si>
  <si>
    <t xml:space="preserve">Actas/CCB-2026-07-25</t>
  </si>
  <si>
    <t xml:space="preserve">Historial de Versiones</t>
  </si>
  <si>
    <t xml:space="preserve">Registre qué cambió, quién lo hizo, cuándo, por qué, mediante qué solicitud y en qué línea base quedó incorporado.</t>
  </si>
  <si>
    <t xml:space="preserve">Elemento ID</t>
  </si>
  <si>
    <t xml:space="preserve">Tipo de elemento</t>
  </si>
  <si>
    <t xml:space="preserve">Versión anterior</t>
  </si>
  <si>
    <t xml:space="preserve">Nueva versión</t>
  </si>
  <si>
    <t xml:space="preserve">Fecha</t>
  </si>
  <si>
    <t xml:space="preserve">Autor</t>
  </si>
  <si>
    <t xml:space="preserve">Resumen del cambio</t>
  </si>
  <si>
    <t xml:space="preserve">Motivo</t>
  </si>
  <si>
    <t xml:space="preserve">Aprobado por</t>
  </si>
  <si>
    <t xml:space="preserve">¿Versión vigente?</t>
  </si>
  <si>
    <t xml:space="preserve">Requisito</t>
  </si>
  <si>
    <t xml:space="preserve">1.1</t>
  </si>
  <si>
    <t xml:space="preserve">Analista funcional</t>
  </si>
  <si>
    <t xml:space="preserve">Se añadió autenticación externa.</t>
  </si>
  <si>
    <t xml:space="preserve">Cambio aprobado</t>
  </si>
  <si>
    <t xml:space="preserve">LB-002</t>
  </si>
  <si>
    <t xml:space="preserve">CCB</t>
  </si>
  <si>
    <t xml:space="preserve">requirements/RF-001@1.1</t>
  </si>
  <si>
    <t xml:space="preserve">Seguimiento de Estado e Incidentes</t>
  </si>
  <si>
    <t xml:space="preserve">Registre TBD, información faltante, duplicados, conflictos e inconsistencias. Asigne un único responsable y una fecha de resolución.</t>
  </si>
  <si>
    <t xml:space="preserve">ID incidente</t>
  </si>
  <si>
    <t xml:space="preserve">Requisito / cambio relacionado</t>
  </si>
  <si>
    <t xml:space="preserve">Descripción</t>
  </si>
  <si>
    <t xml:space="preserve">Fecha apertura</t>
  </si>
  <si>
    <t xml:space="preserve">Severidad</t>
  </si>
  <si>
    <t xml:space="preserve">Fecha compromiso</t>
  </si>
  <si>
    <t xml:space="preserve">Resolución</t>
  </si>
  <si>
    <t xml:space="preserve">Antigüedad (días)</t>
  </si>
  <si>
    <t xml:space="preserve">¿Vencido?</t>
  </si>
  <si>
    <t xml:space="preserve">Evidencia / observaciones</t>
  </si>
  <si>
    <t xml:space="preserve">INC-001</t>
  </si>
  <si>
    <t xml:space="preserve">Información faltante</t>
  </si>
  <si>
    <t xml:space="preserve">No se define el comportamiento cuando la búsqueda por nombre devuelve varios afiliados homónimos.</t>
  </si>
  <si>
    <t xml:space="preserve">Abierto</t>
  </si>
  <si>
    <t xml:space="preserve">Detectado en validación BDD — Checklist UR-01. Fecha compromiso estimada (+7 días); ajustar según planificación real.</t>
  </si>
  <si>
    <t xml:space="preserve">INC-002</t>
  </si>
  <si>
    <t xml:space="preserve">No se acota qué ocurre si la búsqueda por nombre parcial devuelve una cantidad muy grande de resultados (paginación, límite máximo).</t>
  </si>
  <si>
    <t xml:space="preserve">INC-003</t>
  </si>
  <si>
    <t xml:space="preserve">TBD</t>
  </si>
  <si>
    <t xml:space="preserve">No se define un tiempo máximo de respuesta al confirmar el registro de una nueva solicitud.</t>
  </si>
  <si>
    <t xml:space="preserve">Detectado en validación BDD — Checklist UR-02. Fecha compromiso estimada (+7 días); ajustar según planificación real.</t>
  </si>
  <si>
    <t xml:space="preserve">INC-004</t>
  </si>
  <si>
    <t xml:space="preserve">'Tiempo real' no está cuantificado: no se especifica el mecanismo (polling, WebSocket) ni la frecuencia máxima de actualización.</t>
  </si>
  <si>
    <t xml:space="preserve">Crítica</t>
  </si>
  <si>
    <t xml:space="preserve">Detectado en validación BDD — Checklist UR-03. Fecha compromiso estimada (+7 días); ajustar según planificación real.</t>
  </si>
  <si>
    <t xml:space="preserve">INC-005</t>
  </si>
  <si>
    <t xml:space="preserve">No se define qué ocurre si dos usuarios actualizan el estado de la misma solicitud simultáneamente (condición de carrera).</t>
  </si>
  <si>
    <t xml:space="preserve">INC-006</t>
  </si>
  <si>
    <t xml:space="preserve">No se define paginación ni límite para afiliados con historial extenso de solicitudes y adjuntos.</t>
  </si>
  <si>
    <t xml:space="preserve">Detectado en validación BDD — Checklist UR-04. Fecha compromiso estimada (+7 días); ajustar según planificación real.</t>
  </si>
  <si>
    <t xml:space="preserve">INC-007</t>
  </si>
  <si>
    <t xml:space="preserve">Otro</t>
  </si>
  <si>
    <t xml:space="preserve">La historia agrupa dos capacidades distintas ('asignar' y 'reasignar') en un solo enunciado; se recomienda dividir en UR-05a/UR-05b.</t>
  </si>
  <si>
    <t xml:space="preserve">Detectado en validación BDD — Checklist UR-05. Fecha compromiso estimada (+7 días); ajustar según planificación real.</t>
  </si>
  <si>
    <t xml:space="preserve">INC-008</t>
  </si>
  <si>
    <t xml:space="preserve">No se define qué ocurre si el usuario o área de destino de la reasignación está inactivo o no existe.</t>
  </si>
  <si>
    <t xml:space="preserve">INC-009</t>
  </si>
  <si>
    <t xml:space="preserve">La historia podría exceder el tamaño recomendado para completarse íntegramente en un sprint (INVEST — Small).</t>
  </si>
  <si>
    <t xml:space="preserve">INC-010</t>
  </si>
  <si>
    <t xml:space="preserve">No se define un límite máximo de registros o rango de fechas exportable en el reporte.</t>
  </si>
  <si>
    <t xml:space="preserve">Detectado en validación BDD — Checklist UR-06. Fecha compromiso estimada (+7 días); ajustar según planificación real.</t>
  </si>
  <si>
    <t xml:space="preserve">INC-011</t>
  </si>
  <si>
    <t xml:space="preserve">Inconsistencia</t>
  </si>
  <si>
    <t xml:space="preserve">El actor 'afiliado' no es un usuario del sistema; la historia describe un efecto de backend más que una interacción de usuario.</t>
  </si>
  <si>
    <t xml:space="preserve">Detectado en validación BDD — Checklist UR-07. Fecha compromiso estimada (+7 días); ajustar según planificación real.</t>
  </si>
  <si>
    <t xml:space="preserve">INC-012</t>
  </si>
  <si>
    <t xml:space="preserve">No se define qué ocurre si el correo del afiliado es inválido, está desactualizado, o el envío falla (rebote).</t>
  </si>
  <si>
    <t xml:space="preserve">INC-013</t>
  </si>
  <si>
    <t xml:space="preserve">La historia agrupa tres capacidades ('crear', 'modificar', 'desactivar') en un solo enunciado; se recomienda dividir en UR-08a/b/c.</t>
  </si>
  <si>
    <t xml:space="preserve">Detectado en validación BDD — Checklist UR-08. Fecha compromiso estimada (+7 días); ajustar según planificación real.</t>
  </si>
  <si>
    <t xml:space="preserve">INC-014</t>
  </si>
  <si>
    <t xml:space="preserve">La historia podría ser demasiado grande para un solo sprint (INVEST — Small).</t>
  </si>
  <si>
    <t xml:space="preserve">INC-015</t>
  </si>
  <si>
    <t xml:space="preserve">El catálogo define el límite de tamaño por archivo (10 MB) pero no la cantidad máxima de archivos adjuntos por solicitud.</t>
  </si>
  <si>
    <t xml:space="preserve">Detectado en validación BDD — Checklist UR-09. Fecha compromiso estimada (+7 días); ajustar según planificación real.</t>
  </si>
  <si>
    <t xml:space="preserve">INC-016</t>
  </si>
  <si>
    <t xml:space="preserve">La historia describe 'autenticarse' pero su criterio de aceptación (RF-014) es sobre el cierre de sesión por inactividad, no sobre el login en sí.</t>
  </si>
  <si>
    <t xml:space="preserve">Detectado en validación BDD — Checklist UR-10. Fecha compromiso estimada (+7 días); ajustar según planificación real.</t>
  </si>
  <si>
    <t xml:space="preserve">INC-017</t>
  </si>
  <si>
    <t xml:space="preserve">No se define qué ocurre si el mismo usuario inicia sesión desde dos dispositivos o navegadores al mismo tiempo.</t>
  </si>
  <si>
    <t xml:space="preserve">INC-018</t>
  </si>
  <si>
    <t xml:space="preserve">No se define una longitud máxima para el texto de la anotación interna.</t>
  </si>
  <si>
    <t xml:space="preserve">Detectado en validación BDD — Checklist UR-12. Fecha compromiso estimada (+7 días); ajustar según planificación real.</t>
  </si>
  <si>
    <t xml:space="preserve">Matriz de Trazabilidad de Requisitos (RTM)</t>
  </si>
  <si>
    <t xml:space="preserve">Mantenga trazabilidad hacia atrás hasta el origen y hacia adelante hasta diseño, implementación y pruebas. Actualice los vínculos durante el trabajo.</t>
  </si>
  <si>
    <t xml:space="preserve">Objetivo / regla de negocio</t>
  </si>
  <si>
    <t xml:space="preserve">Necesidad del interesado</t>
  </si>
  <si>
    <t xml:space="preserve">Caso de uso / historia</t>
  </si>
  <si>
    <t xml:space="preserve">Componente de diseño</t>
  </si>
  <si>
    <t xml:space="preserve">Código / módulo</t>
  </si>
  <si>
    <t xml:space="preserve">Caso de prueba</t>
  </si>
  <si>
    <t xml:space="preserve">Resultado de verificación</t>
  </si>
  <si>
    <t xml:space="preserve">Trazabilidad hacia atrás</t>
  </si>
  <si>
    <t xml:space="preserve">Trazabilidad hacia adelante</t>
  </si>
  <si>
    <t xml:space="preserve">Cobertura total</t>
  </si>
  <si>
    <t xml:space="preserve">BR-01: reducir el tiempo promedio de resolución en al menos 50% (baseline 48-72 h). OBJ-03: tiempo de búsqueda ≤ 2 minutos.</t>
  </si>
  <si>
    <t xml:space="preserve">Información del afiliado fragmentada en múltiples sistemas, con pérdida de 10-25 minutos por caso (Informe de Elicitación, 5.1).</t>
  </si>
  <si>
    <t xml:space="preserve">EP-03 / UR-01</t>
  </si>
  <si>
    <t xml:space="preserve">Pendiente (no definido aún en la fuente)</t>
  </si>
  <si>
    <t xml:space="preserve">BR-01, BR-03: automatizar al menos el 60% de la gestión de solicitudes.</t>
  </si>
  <si>
    <t xml:space="preserve">Procesos manuales de registro en hojas de cálculo o sistemas legacy, con errores de captura e inconsistencia de datos.</t>
  </si>
  <si>
    <t xml:space="preserve">EP-04 / UR-02</t>
  </si>
  <si>
    <t xml:space="preserve">BR-01, BR-05: reducir el tiempo de resolución en 50% y garantizar trazabilidad completa.</t>
  </si>
  <si>
    <t xml:space="preserve">Ausencia de trazabilidad de solicitudes desde apertura hasta cierre, con solicitudes perdidas o duplicadas.</t>
  </si>
  <si>
    <t xml:space="preserve">EP-05 / UR-03</t>
  </si>
  <si>
    <t xml:space="preserve">BR-01: reducir el tiempo promedio de resolución en al menos 50%.</t>
  </si>
  <si>
    <t xml:space="preserve">Información del afiliado fragmentada en múltiples sistemas sin integración.</t>
  </si>
  <si>
    <t xml:space="preserve">EP-03 / UR-04</t>
  </si>
  <si>
    <t xml:space="preserve">Ausencia de trazabilidad de solicitudes desde apertura hasta cierre.</t>
  </si>
  <si>
    <t xml:space="preserve">EP-05 / UR-05</t>
  </si>
  <si>
    <t xml:space="preserve">BR-01, BR-02: incrementar la satisfacción del afiliado en al menos 30% a 4 meses del lanzamiento. OBJ-04: reportes en tiempo real.</t>
  </si>
  <si>
    <t xml:space="preserve">Falta de reportes en tiempo real para la toma de decisiones gerenciales.</t>
  </si>
  <si>
    <t xml:space="preserve">EP-06 / UR-06</t>
  </si>
  <si>
    <t xml:space="preserve">Falta de comunicación proactiva al afiliado sobre el estado de sus solicitudes.</t>
  </si>
  <si>
    <t xml:space="preserve">EP-04 / UR-07</t>
  </si>
  <si>
    <t xml:space="preserve">RNF-012: control de acceso por roles verificado (RN-004).</t>
  </si>
  <si>
    <t xml:space="preserve">Necesidad de control de acceso por roles y registro completo de acciones administrativas.</t>
  </si>
  <si>
    <t xml:space="preserve">EP-02 / UR-08</t>
  </si>
  <si>
    <t xml:space="preserve">BR-01, BR-05: garantizar la trazabilidad completa de cada solicitud desde apertura hasta cierre.</t>
  </si>
  <si>
    <t xml:space="preserve">Ausencia de expediente digital completo vinculado a cada solicitud.</t>
  </si>
  <si>
    <t xml:space="preserve">EP-05 / UR-09</t>
  </si>
  <si>
    <t xml:space="preserve">BR-04: cumplir con la LOPDP en el tratamiento de datos de afiliados.</t>
  </si>
  <si>
    <t xml:space="preserve">Necesidad de autenticación institucional segura y cierre de sesión controlado (SEG-001 a SEG-005).</t>
  </si>
  <si>
    <t xml:space="preserve">EP-01 / UR-10</t>
  </si>
  <si>
    <t xml:space="preserve">BR-01, BR-02: incrementar la satisfacción del afiliado en al menos 30%. OBJ-04: reportes en tiempo real.</t>
  </si>
  <si>
    <t xml:space="preserve">EP-06 / UR-11</t>
  </si>
  <si>
    <t xml:space="preserve">Necesidad de registrar anotaciones internas visibles solo para el personal del fondo (RN-005).</t>
  </si>
  <si>
    <t xml:space="preserve">EP-05 / UR-12</t>
  </si>
  <si>
    <t xml:space="preserve">Dashboard de Gestión de Requisitos</t>
  </si>
  <si>
    <t xml:space="preserve">Indicadores calculados a partir de las hojas operativas. Elimine o reemplace las filas marcadas como EJEMPLO para obtener métricas reales del proyecto.</t>
  </si>
  <si>
    <t xml:space="preserve">Indicadores principales</t>
  </si>
  <si>
    <t xml:space="preserve">Distribución por estado</t>
  </si>
  <si>
    <t xml:space="preserve">Decisiones de cambio</t>
  </si>
  <si>
    <t xml:space="preserve">Indicador</t>
  </si>
  <si>
    <t xml:space="preserve">Valor</t>
  </si>
  <si>
    <t xml:space="preserve">Interpretación</t>
  </si>
  <si>
    <t xml:space="preserve">Meta sugerida</t>
  </si>
  <si>
    <t xml:space="preserve">Propuesto</t>
  </si>
  <si>
    <t xml:space="preserve">Total de requisitos</t>
  </si>
  <si>
    <t xml:space="preserve">Requisitos registrados</t>
  </si>
  <si>
    <t xml:space="preserve">Según alcance</t>
  </si>
  <si>
    <t xml:space="preserve">En análisis</t>
  </si>
  <si>
    <t xml:space="preserve">Rechazar</t>
  </si>
  <si>
    <t xml:space="preserve">Requisitos aprobados</t>
  </si>
  <si>
    <t xml:space="preserve">Listos para línea base / construcción</t>
  </si>
  <si>
    <t xml:space="preserve">Creciente</t>
  </si>
  <si>
    <t xml:space="preserve">Redactado</t>
  </si>
  <si>
    <t xml:space="preserve">Diferir</t>
  </si>
  <si>
    <t xml:space="preserve">Requisitos verificados</t>
  </si>
  <si>
    <t xml:space="preserve">Implementados y comprobados</t>
  </si>
  <si>
    <t xml:space="preserve">100% del release</t>
  </si>
  <si>
    <t xml:space="preserve">Solicitar más información</t>
  </si>
  <si>
    <t xml:space="preserve">Requisitos en línea base</t>
  </si>
  <si>
    <t xml:space="preserve">Con alcance formalmente controlado</t>
  </si>
  <si>
    <t xml:space="preserve">100% de aprobados</t>
  </si>
  <si>
    <t xml:space="preserve">Cambios abiertos</t>
  </si>
  <si>
    <t xml:space="preserve">Solicitudes no cerradas ni rechazadas</t>
  </si>
  <si>
    <t xml:space="preserve">Sin vencidos</t>
  </si>
  <si>
    <t xml:space="preserve">Implementado</t>
  </si>
  <si>
    <t xml:space="preserve">Cambios aprobados</t>
  </si>
  <si>
    <t xml:space="preserve">Cambios autorizados por CCB</t>
  </si>
  <si>
    <t xml:space="preserve">Trazados y verificados</t>
  </si>
  <si>
    <t xml:space="preserve">Verificado</t>
  </si>
  <si>
    <t xml:space="preserve">Incidentes abiertos</t>
  </si>
  <si>
    <t xml:space="preserve">TBD, vacíos o conflictos pendientes</t>
  </si>
  <si>
    <t xml:space="preserve">Tendencia a 0</t>
  </si>
  <si>
    <t xml:space="preserve">Diferido</t>
  </si>
  <si>
    <t xml:space="preserve">Incidentes vencidos</t>
  </si>
  <si>
    <t xml:space="preserve">Pendientes después de la fecha compromiso</t>
  </si>
  <si>
    <t xml:space="preserve">0</t>
  </si>
  <si>
    <t xml:space="preserve">Eliminado</t>
  </si>
  <si>
    <t xml:space="preserve">Calidad apta</t>
  </si>
  <si>
    <t xml:space="preserve">Requisitos evaluados como aptos</t>
  </si>
  <si>
    <t xml:space="preserve">≥ 90%</t>
  </si>
  <si>
    <t xml:space="preserve">Trazabilidad completa</t>
  </si>
  <si>
    <t xml:space="preserve">Requisitos con origen, diseño, código y pruebas</t>
  </si>
  <si>
    <t xml:space="preserve">100%</t>
  </si>
  <si>
    <t xml:space="preserve">Volatilidad</t>
  </si>
  <si>
    <t xml:space="preserve">Registros de versión por requisito</t>
  </si>
  <si>
    <t xml:space="preserve">Controlada / explicada</t>
  </si>
  <si>
    <t xml:space="preserve">Catálogos, Definiciones y Referencias</t>
  </si>
  <si>
    <t xml:space="preserve">Esta hoja documenta los valores controlados utilizados en las listas desplegables y las fuentes normativas consideradas.</t>
  </si>
  <si>
    <t xml:space="preserve">Valores controlados</t>
  </si>
  <si>
    <t xml:space="preserve">Referencias normativas y técnicas</t>
  </si>
  <si>
    <t xml:space="preserve">Catálogo</t>
  </si>
  <si>
    <t xml:space="preserve">Uso / definición</t>
  </si>
  <si>
    <t xml:space="preserve">Hoja principal</t>
  </si>
  <si>
    <t xml:space="preserve">Aplicación en la plantilla</t>
  </si>
  <si>
    <t xml:space="preserve">Fuente oficial</t>
  </si>
  <si>
    <t xml:space="preserve">TipoRequisito</t>
  </si>
  <si>
    <t xml:space="preserve">Negocio</t>
  </si>
  <si>
    <t xml:space="preserve">Clasificación del requisito</t>
  </si>
  <si>
    <t xml:space="preserve">02</t>
  </si>
  <si>
    <t xml:space="preserve">ISO/IEC/IEEE 29148:2018</t>
  </si>
  <si>
    <t xml:space="preserve">Procesos e información de ingeniería de requisitos; atributos, calidad, líneas base, cambios y trazabilidad. Es la edición publicada vigente; existe una edición 3 en desarrollo.</t>
  </si>
  <si>
    <t xml:space="preserve">https://www.iso.org/standard/72089.html</t>
  </si>
  <si>
    <t xml:space="preserve">Interesado</t>
  </si>
  <si>
    <t xml:space="preserve">IEEE/ISO/IEC 29148-2018</t>
  </si>
  <si>
    <t xml:space="preserve">Ficha IEEE de la norma activa de ingeniería de requisitos.</t>
  </si>
  <si>
    <t xml:space="preserve">https://standards.ieee.org/ieee/29148/6937/</t>
  </si>
  <si>
    <t xml:space="preserve">Sistema</t>
  </si>
  <si>
    <t xml:space="preserve">SWEBOK Guide V4.0</t>
  </si>
  <si>
    <t xml:space="preserve">Área de conocimiento de requisitos: fundamentos, elicitación, análisis, especificación, validación y gestión.</t>
  </si>
  <si>
    <t xml:space="preserve">https://www.computer.org/education/bodies-of-knowledge/software-engineering/topics</t>
  </si>
  <si>
    <t xml:space="preserve">Software</t>
  </si>
  <si>
    <t xml:space="preserve">ISO/IEC/IEEE 12207:2026</t>
  </si>
  <si>
    <t xml:space="preserve">Marco común de procesos del ciclo de vida del software.</t>
  </si>
  <si>
    <t xml:space="preserve">https://www.iso.org/standard/90219.html</t>
  </si>
  <si>
    <t xml:space="preserve">ISO/IEC/IEEE 15288:2023</t>
  </si>
  <si>
    <t xml:space="preserve">Procesos del ciclo de vida de sistemas, aplicable cuando el software forma parte de un sistema mayor.</t>
  </si>
  <si>
    <t xml:space="preserve">https://www.iso.org/standard/81702.html</t>
  </si>
  <si>
    <t xml:space="preserve">No funcional</t>
  </si>
  <si>
    <t xml:space="preserve">ISO/IEC/IEEE 15289:2019</t>
  </si>
  <si>
    <t xml:space="preserve">Contenido y gestión de elementos de información y documentación del ciclo de vida.</t>
  </si>
  <si>
    <t xml:space="preserve">https://www.iso.org/standard/74909.html</t>
  </si>
  <si>
    <t xml:space="preserve">Interfaz</t>
  </si>
  <si>
    <t xml:space="preserve">ISO/IEC/IEEE 24748-1:2024</t>
  </si>
  <si>
    <t xml:space="preserve">Orientaciones de gestión del ciclo de vida y adaptación de procesos.</t>
  </si>
  <si>
    <t xml:space="preserve">https://www.iso.org/standard/84709.html</t>
  </si>
  <si>
    <t xml:space="preserve">Restricción</t>
  </si>
  <si>
    <t xml:space="preserve">ISO/IEC/IEEE DIS 29148 (edición 3, borrador)</t>
  </si>
  <si>
    <t xml:space="preserve">Referencia informativa: revisión en desarrollo; no se usa como base de conformidad hasta su publicación.</t>
  </si>
  <si>
    <t xml:space="preserve">https://www.iso.org/standard/94091.html</t>
  </si>
  <si>
    <t xml:space="preserve">Regla de negocio</t>
  </si>
  <si>
    <t xml:space="preserve">Documento base del usuario</t>
  </si>
  <si>
    <t xml:space="preserve">Proceso integrado: depuración, alineación del alcance, línea base, versiones, estado, cambios, CCB y trazabilidad.</t>
  </si>
  <si>
    <t xml:space="preserve">Gestión de Requerimientos en el Ciclo de Vida del Software (1).pdf</t>
  </si>
  <si>
    <t xml:space="preserve">Datos</t>
  </si>
  <si>
    <t xml:space="preserve">Priorización MoSCoW</t>
  </si>
  <si>
    <t xml:space="preserve">02 y 05</t>
  </si>
  <si>
    <t xml:space="preserve">Deseable (Could)</t>
  </si>
  <si>
    <t xml:space="preserve">Fuera ahora (Won't)</t>
  </si>
  <si>
    <t xml:space="preserve">Exposición asociada al requisito</t>
  </si>
  <si>
    <t xml:space="preserve">Crítico</t>
  </si>
  <si>
    <t xml:space="preserve">Complejidad relativa</t>
  </si>
  <si>
    <t xml:space="preserve">MetodoVerificacion</t>
  </si>
  <si>
    <t xml:space="preserve">Inspección</t>
  </si>
  <si>
    <t xml:space="preserve">Forma prevista de demostrar conformidad</t>
  </si>
  <si>
    <t xml:space="preserve">Análisis</t>
  </si>
  <si>
    <t xml:space="preserve">Demostración</t>
  </si>
  <si>
    <t xml:space="preserve">EstadoReq</t>
  </si>
  <si>
    <t xml:space="preserve">Ciclo de vida del requisito</t>
  </si>
  <si>
    <t xml:space="preserve">SiNo</t>
  </si>
  <si>
    <t xml:space="preserve">Respuesta binaria controlada</t>
  </si>
  <si>
    <t xml:space="preserve">03, 04, 05, 07, 08</t>
  </si>
  <si>
    <t xml:space="preserve">DecisionDepuracion</t>
  </si>
  <si>
    <t xml:space="preserve">Resultado de depuración</t>
  </si>
  <si>
    <t xml:space="preserve">03</t>
  </si>
  <si>
    <t xml:space="preserve">Eliminar</t>
  </si>
  <si>
    <t xml:space="preserve">EstadoBaseline</t>
  </si>
  <si>
    <t xml:space="preserve">Estado de la línea base</t>
  </si>
  <si>
    <t xml:space="preserve">04</t>
  </si>
  <si>
    <t xml:space="preserve">En revisión</t>
  </si>
  <si>
    <t xml:space="preserve">Aprobada</t>
  </si>
  <si>
    <t xml:space="preserve">Sustituida</t>
  </si>
  <si>
    <t xml:space="preserve">Retirada</t>
  </si>
  <si>
    <t xml:space="preserve">EstadoCR</t>
  </si>
  <si>
    <t xml:space="preserve">Ciclo de vida de la solicitud</t>
  </si>
  <si>
    <t xml:space="preserve">05</t>
  </si>
  <si>
    <t xml:space="preserve">Pendiente CCB</t>
  </si>
  <si>
    <t xml:space="preserve">Rechazada</t>
  </si>
  <si>
    <t xml:space="preserve">Diferida</t>
  </si>
  <si>
    <t xml:space="preserve">En implementación</t>
  </si>
  <si>
    <t xml:space="preserve">En verificación</t>
  </si>
  <si>
    <t xml:space="preserve">Cerrada</t>
  </si>
  <si>
    <t xml:space="preserve">DecisionCCB</t>
  </si>
  <si>
    <t xml:space="preserve">Decisión formal</t>
  </si>
  <si>
    <t xml:space="preserve">EstadoVerificacion</t>
  </si>
  <si>
    <t xml:space="preserve">Resultado o progreso de verificación</t>
  </si>
  <si>
    <t xml:space="preserve">05 y 10</t>
  </si>
  <si>
    <t xml:space="preserve">En ejecución</t>
  </si>
  <si>
    <t xml:space="preserve">Conforme</t>
  </si>
  <si>
    <t xml:space="preserve">No conforme</t>
  </si>
  <si>
    <t xml:space="preserve">TipoIncidente</t>
  </si>
  <si>
    <t xml:space="preserve">Clasificación de incidentes</t>
  </si>
  <si>
    <t xml:space="preserve">09</t>
  </si>
  <si>
    <t xml:space="preserve">Duplicado</t>
  </si>
  <si>
    <t xml:space="preserve">Conflicto</t>
  </si>
  <si>
    <t xml:space="preserve">Criticidad del incidente</t>
  </si>
  <si>
    <t xml:space="preserve">EstadoIncidente</t>
  </si>
  <si>
    <t xml:space="preserve">Estado del incidente</t>
  </si>
  <si>
    <t xml:space="preserve">En resolución</t>
  </si>
  <si>
    <t xml:space="preserve">Bloqueado</t>
  </si>
  <si>
    <t xml:space="preserve">Cerrado</t>
  </si>
  <si>
    <t xml:space="preserve">TipoElementoVersionado</t>
  </si>
  <si>
    <t xml:space="preserve">Tipo de artefacto versionado</t>
  </si>
  <si>
    <t xml:space="preserve">08</t>
  </si>
  <si>
    <t xml:space="preserve">Especificación</t>
  </si>
  <si>
    <t xml:space="preserve">Modelo</t>
  </si>
  <si>
    <t xml:space="preserve">Matriz de trazabilidad</t>
  </si>
  <si>
    <t xml:space="preserve">Plan</t>
  </si>
  <si>
    <t xml:space="preserve">Enfoque</t>
  </si>
  <si>
    <t xml:space="preserve">Predictivo</t>
  </si>
  <si>
    <t xml:space="preserve">01</t>
  </si>
  <si>
    <t xml:space="preserve">Ágil</t>
  </si>
  <si>
    <t xml:space="preserve">Periodicidad</t>
  </si>
  <si>
    <t xml:space="preserve">Frecuencia de control</t>
  </si>
  <si>
    <t xml:space="preserve">Por iteración</t>
  </si>
  <si>
    <t xml:space="preserve">Semanal</t>
  </si>
  <si>
    <t xml:space="preserve">Quincenal</t>
  </si>
  <si>
    <t xml:space="preserve">Mensual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</si>
</sst>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%"/>
    <numFmt numFmtId="167" formatCode="0"/>
    <numFmt numFmtId="168" formatCode="\$#,##0.00"/>
    <numFmt numFmtId="169" formatCode="0.0"/>
    <numFmt numFmtId="170" formatCode="0.0%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2F75B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17365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9"/>
      <name val="Calibri"/>
      <family val="0"/>
      <charset val="1"/>
    </font>
    <font>
      <b val="true"/>
      <sz val="12"/>
      <color rgb="FF17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DEBF7"/>
      </patternFill>
    </fill>
    <fill>
      <patternFill patternType="solid">
        <fgColor rgb="FF2F75B5"/>
        <bgColor rgb="FF156082"/>
      </patternFill>
    </fill>
    <fill>
      <patternFill patternType="solid">
        <fgColor rgb="FFDDEBF7"/>
        <bgColor rgb="FFD9EAF7"/>
      </patternFill>
    </fill>
    <fill>
      <patternFill patternType="solid">
        <fgColor rgb="FFF8F9FA"/>
        <bgColor rgb="FFFFFFFF"/>
      </patternFill>
    </fill>
    <fill>
      <patternFill patternType="solid">
        <fgColor rgb="FFF2F2F2"/>
        <bgColor rgb="FFF8F9FA"/>
      </patternFill>
    </fill>
    <fill>
      <patternFill patternType="solid">
        <fgColor rgb="FF0F6B78"/>
        <bgColor rgb="FF156082"/>
      </patternFill>
    </fill>
    <fill>
      <patternFill patternType="solid">
        <fgColor rgb="FFFFFFFF"/>
        <bgColor rgb="FFF8F9F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6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1"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2F2F2"/>
        </patternFill>
      </fill>
    </dxf>
    <dxf>
      <font>
        <b val="1"/>
      </font>
      <fill>
        <patternFill>
          <bgColor rgb="FFFCE4D6"/>
        </patternFill>
      </fill>
    </dxf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DEBF7"/>
      <rgbColor rgb="FFE2F0D9"/>
      <rgbColor rgb="FFF2F2F2"/>
      <rgbColor rgb="FFF8F9FA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Requisitos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11_Dashboard!$F$5:$F$14</c:f>
              <c:strCache>
                <c:ptCount val="10"/>
                <c:pt idx="0">
                  <c:v>Propuesto</c:v>
                </c:pt>
                <c:pt idx="1">
                  <c:v>En análisis</c:v>
                </c:pt>
                <c:pt idx="2">
                  <c:v>Redactado</c:v>
                </c:pt>
                <c:pt idx="3">
                  <c:v>Revisado</c:v>
                </c:pt>
                <c:pt idx="4">
                  <c:v>Aprobado</c:v>
                </c:pt>
                <c:pt idx="5">
                  <c:v>Implementado</c:v>
                </c:pt>
                <c:pt idx="6">
                  <c:v>Verificado</c:v>
                </c:pt>
                <c:pt idx="7">
                  <c:v>Diferido</c:v>
                </c:pt>
                <c:pt idx="8">
                  <c:v>Eliminado</c:v>
                </c:pt>
                <c:pt idx="9">
                  <c:v>Rechazado</c:v>
                </c:pt>
              </c:strCache>
            </c:strRef>
          </c:cat>
          <c:val>
            <c:numRef>
              <c:f>11_Dashboard!$G$5:$G$14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</c:ser>
        <c:gapWidth val="150"/>
        <c:overlap val="0"/>
        <c:axId val="85580432"/>
        <c:axId val="51480988"/>
      </c:barChart>
      <c:catAx>
        <c:axId val="8558043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480988"/>
        <c:crosses val="autoZero"/>
        <c:auto val="1"/>
        <c:lblAlgn val="ctr"/>
        <c:lblOffset val="100"/>
        <c:noMultiLvlLbl val="0"/>
      </c:catAx>
      <c:valAx>
        <c:axId val="5148098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580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Decisiones del CCB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11_Dashboard!$J$5:$J$8</c:f>
              <c:strCache>
                <c:ptCount val="4"/>
                <c:pt idx="0">
                  <c:v>Aprobar</c:v>
                </c:pt>
                <c:pt idx="1">
                  <c:v>Rechazar</c:v>
                </c:pt>
                <c:pt idx="2">
                  <c:v>Diferir</c:v>
                </c:pt>
                <c:pt idx="3">
                  <c:v>Solicitar más información</c:v>
                </c:pt>
              </c:strCache>
            </c:strRef>
          </c:cat>
          <c:val>
            <c:numRef>
              <c:f>11_Dashboard!$K$5:$K$8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5250327"/>
        <c:axId val="60077383"/>
      </c:barChart>
      <c:catAx>
        <c:axId val="1525032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077383"/>
        <c:crosses val="autoZero"/>
        <c:auto val="1"/>
        <c:lblAlgn val="ctr"/>
        <c:lblOffset val="100"/>
        <c:noMultiLvlLbl val="0"/>
      </c:catAx>
      <c:valAx>
        <c:axId val="6007738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2503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0</xdr:rowOff>
    </xdr:from>
    <xdr:to>
      <xdr:col>9</xdr:col>
      <xdr:colOff>1973160</xdr:colOff>
      <xdr:row>31</xdr:row>
      <xdr:rowOff>190080</xdr:rowOff>
    </xdr:to>
    <xdr:graphicFrame>
      <xdr:nvGraphicFramePr>
        <xdr:cNvPr id="0" name="Chart 1"/>
        <xdr:cNvGraphicFramePr/>
      </xdr:nvGraphicFramePr>
      <xdr:xfrm>
        <a:off x="8505720" y="3286080"/>
        <a:ext cx="54518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13</xdr:col>
      <xdr:colOff>610920</xdr:colOff>
      <xdr:row>23</xdr:row>
      <xdr:rowOff>190440</xdr:rowOff>
    </xdr:to>
    <xdr:graphicFrame>
      <xdr:nvGraphicFramePr>
        <xdr:cNvPr id="1" name="Chart 2"/>
        <xdr:cNvGraphicFramePr/>
      </xdr:nvGraphicFramePr>
      <xdr:xfrm>
        <a:off x="13957920" y="2143080"/>
        <a:ext cx="26798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dadTable" displayName="CalidadTable" ref="A4:U204" headerRowCount="1" totalsRowCount="0" totalsRowShown="0">
  <tableColumns count="21">
    <tableColumn id="1" name="ID requisito"/>
    <tableColumn id="2" name="Revisor"/>
    <tableColumn id="3" name="Dentro del alcance"/>
    <tableColumn id="4" name="Valor / ROI adecuado"/>
    <tableColumn id="5" name="Necesario / prioritario"/>
    <tableColumn id="6" name="Factible"/>
    <tableColumn id="7" name="Ajusta a capacidad"/>
    <tableColumn id="8" name="Atómico"/>
    <tableColumn id="9" name="No ambiguo"/>
    <tableColumn id="10" name="Completo"/>
    <tableColumn id="11" name="Consistente"/>
    <tableColumn id="12" name="Verificable"/>
    <tableColumn id="13" name="Trazable"/>
    <tableColumn id="14" name="Libre de solución"/>
    <tableColumn id="15" name="Simplificado"/>
    <tableColumn id="16" name="¿Duplicado?"/>
    <tableColumn id="17" name="Hallazgos / acciones"/>
    <tableColumn id="18" name="Decisión"/>
    <tableColumn id="19" name="Fecha revisión"/>
    <tableColumn id="20" name="Puntaje calidad"/>
    <tableColumn id="21" name="Resultado"/>
  </tableColumns>
</table>
</file>

<file path=xl/tables/table2.xml><?xml version="1.0" encoding="utf-8"?>
<table xmlns="http://schemas.openxmlformats.org/spreadsheetml/2006/main" id="2" name="CambiosTable" displayName="CambiosTable" ref="A4:S204" headerRowCount="1" totalsRowCount="0" totalsRowShown="0">
  <tableColumns count="19">
    <tableColumn id="1" name="ID cambio"/>
    <tableColumn id="2" name="Fecha solicitud"/>
    <tableColumn id="3" name="Originador"/>
    <tableColumn id="4" name="Requisitos afectados"/>
    <tableColumn id="5" name="Línea base afectada"/>
    <tableColumn id="6" name="Descripción del cambio"/>
    <tableColumn id="7" name="Motivo / necesidad"/>
    <tableColumn id="8" name="Prioridad"/>
    <tableColumn id="9" name="¿Vía rápida?"/>
    <tableColumn id="10" name="Estado"/>
    <tableColumn id="11" name="Evaluador"/>
    <tableColumn id="12" name="Fecha límite análisis"/>
    <tableColumn id="13" name="Decisión CCB"/>
    <tableColumn id="14" name="Fecha decisión"/>
    <tableColumn id="15" name="Responsable implementación"/>
    <tableColumn id="16" name="Release objetivo"/>
    <tableColumn id="17" name="Estado verificación"/>
    <tableColumn id="18" name="Fecha cierre"/>
    <tableColumn id="19" name="Evidencia / enlace"/>
  </tableColumns>
</table>
</file>

<file path=xl/tables/table3.xml><?xml version="1.0" encoding="utf-8"?>
<table xmlns="http://schemas.openxmlformats.org/spreadsheetml/2006/main" id="3" name="CatalogosTable" displayName="CatalogosTable" ref="A5:D101" headerRowCount="1" totalsRowCount="0" totalsRowShown="0">
  <tableColumns count="4">
    <tableColumn id="1" name="Catálogo"/>
    <tableColumn id="2" name="Valor"/>
    <tableColumn id="3" name="Uso / definición"/>
    <tableColumn id="4" name="Hoja principal"/>
  </tableColumns>
</table>
</file>

<file path=xl/tables/table4.xml><?xml version="1.0" encoding="utf-8"?>
<table xmlns="http://schemas.openxmlformats.org/spreadsheetml/2006/main" id="4" name="CCBTable" displayName="CCBTable" ref="A4:L204" headerRowCount="1" totalsRowCount="0" totalsRowShown="0">
  <tableColumns count="12">
    <tableColumn id="1" name="ID decisión"/>
    <tableColumn id="2" name="ID cambio"/>
    <tableColumn id="3" name="Fecha reunión / decisión"/>
    <tableColumn id="4" name="Miembros participantes"/>
    <tableColumn id="5" name="¿Quórum?"/>
    <tableColumn id="6" name="Resumen del impacto"/>
    <tableColumn id="7" name="Decisión"/>
    <tableColumn id="8" name="Condiciones / restricciones"/>
    <tableColumn id="9" name="Autoridad final"/>
    <tableColumn id="10" name="Notificación enviada"/>
    <tableColumn id="11" name="Acta / evidencia"/>
    <tableColumn id="12" name="Observaciones"/>
  </tableColumns>
</table>
</file>

<file path=xl/tables/table5.xml><?xml version="1.0" encoding="utf-8"?>
<table xmlns="http://schemas.openxmlformats.org/spreadsheetml/2006/main" id="5" name="ImpactoTable" displayName="ImpactoTable" ref="A4:U204" headerRowCount="1" totalsRowCount="0" totalsRowShown="0">
  <tableColumns count="21">
    <tableColumn id="1" name="ID cambio"/>
    <tableColumn id="2" name="Evaluador"/>
    <tableColumn id="3" name="Requisitos / objetivos afectados"/>
    <tableColumn id="4" name="Beneficios esperados"/>
    <tableColumn id="5" name="Diseño / arquitectura"/>
    <tableColumn id="6" name="Código / componentes"/>
    <tableColumn id="7" name="Casos de prueba"/>
    <tableColumn id="8" name="Documentación / capacitación"/>
    <tableColumn id="9" name="Seguridad / privacidad"/>
    <tableColumn id="10" name="Datos / interoperabilidad"/>
    <tableColumn id="11" name="Esfuerzo (horas)"/>
    <tableColumn id="12" name="Costo estimado"/>
    <tableColumn id="13" name="Retraso (días)"/>
    <tableColumn id="14" name="Riesgo técnico (1-5)"/>
    <tableColumn id="15" name="Riesgo negocio (1-5)"/>
    <tableColumn id="16" name="Beneficio (1-5)"/>
    <tableColumn id="17" name="Urgencia (1-5)"/>
    <tableColumn id="18" name="Impacto estimado (1-5)"/>
    <tableColumn id="19" name="Valor / urgencia (1-5)"/>
    <tableColumn id="20" name="Alternativas"/>
    <tableColumn id="21" name="Recomendación"/>
  </tableColumns>
</table>
</file>

<file path=xl/tables/table6.xml><?xml version="1.0" encoding="utf-8"?>
<table xmlns="http://schemas.openxmlformats.org/spreadsheetml/2006/main" id="6" name="IncidentesTable" displayName="IncidentesTable" ref="A4:N204" headerRowCount="1" totalsRowCount="0" totalsRowShown="0">
  <tableColumns count="14">
    <tableColumn id="1" name="ID incidente"/>
    <tableColumn id="2" name="Tipo"/>
    <tableColumn id="3" name="Requisito / cambio relacionado"/>
    <tableColumn id="4" name="Descripción"/>
    <tableColumn id="5" name="Fecha apertura"/>
    <tableColumn id="6" name="Responsable"/>
    <tableColumn id="7" name="Severidad"/>
    <tableColumn id="8" name="Estado"/>
    <tableColumn id="9" name="Fecha compromiso"/>
    <tableColumn id="10" name="Resolución"/>
    <tableColumn id="11" name="Fecha cierre"/>
    <tableColumn id="12" name="Antigüedad (días)"/>
    <tableColumn id="13" name="¿Vencido?"/>
    <tableColumn id="14" name="Evidencia / observaciones"/>
  </tableColumns>
</table>
</file>

<file path=xl/tables/table7.xml><?xml version="1.0" encoding="utf-8"?>
<table xmlns="http://schemas.openxmlformats.org/spreadsheetml/2006/main" id="7" name="LineasBaseTable" displayName="LineasBaseTable" ref="A4:M204" headerRowCount="1" totalsRowCount="0" totalsRowShown="0">
  <tableColumns count="13">
    <tableColumn id="1" name="ID línea base"/>
    <tableColumn id="2" name="Nombre / release"/>
    <tableColumn id="3" name="Versión"/>
    <tableColumn id="4" name="Alcance incluido"/>
    <tableColumn id="5" name="Fecha propuesta"/>
    <tableColumn id="6" name="Fecha aprobación"/>
    <tableColumn id="7" name="Estado"/>
    <tableColumn id="8" name="Aprobada por"/>
    <tableColumn id="9" name="N.º requisitos"/>
    <tableColumn id="10" name="Control de cambios activo"/>
    <tableColumn id="11" name="Repositorio / etiqueta"/>
    <tableColumn id="12" name="Sustituye a"/>
    <tableColumn id="13" name="Observaciones"/>
  </tableColumns>
</table>
</file>

<file path=xl/tables/table8.xml><?xml version="1.0" encoding="utf-8"?>
<table xmlns="http://schemas.openxmlformats.org/spreadsheetml/2006/main" id="8" name="PlanGestionTable" displayName="PlanGestionTable" ref="A10:F29" headerRowCount="1" totalsRowCount="0" totalsRowShown="0">
  <tableColumns count="6">
    <tableColumn id="1" name="Elemento del plan"/>
    <tableColumn id="2" name="Definición / decisión del proyecto"/>
    <tableColumn id="3" name="Responsable"/>
    <tableColumn id="4" name="Frecuencia / momento"/>
    <tableColumn id="5" name="Evidencia / ubicación"/>
    <tableColumn id="6" name="Referencia"/>
  </tableColumns>
</table>
</file>

<file path=xl/tables/table9.xml><?xml version="1.0" encoding="utf-8"?>
<table xmlns="http://schemas.openxmlformats.org/spreadsheetml/2006/main" id="9" name="ReferenciasTable" displayName="ReferenciasTable" ref="F5:H14" headerRowCount="1" totalsRowCount="0" totalsRowShown="0">
  <tableColumns count="3">
    <tableColumn id="1" name="Referencia"/>
    <tableColumn id="2" name="Aplicación en la plantilla"/>
    <tableColumn id="3" name="Fuente oficial"/>
  </tableColumns>
</table>
</file>

<file path=xl/tables/table10.xml><?xml version="1.0" encoding="utf-8"?>
<table xmlns="http://schemas.openxmlformats.org/spreadsheetml/2006/main" id="10" name="RequisitosTable" displayName="RequisitosTable" ref="A4:W204" headerRowCount="1" totalsRowCount="0" totalsRowShown="0">
  <tableColumns count="23">
    <tableColumn id="1" name="ID"/>
    <tableColumn id="2" name="Tipo"/>
    <tableColumn id="3" name="Título"/>
    <tableColumn id="4" name="Enunciado del requisito"/>
    <tableColumn id="5" name="Fuente / origen"/>
    <tableColumn id="6" name="Justificación / valor"/>
    <tableColumn id="7" name="Prioridad"/>
    <tableColumn id="8" name="Riesgo"/>
    <tableColumn id="9" name="Complejidad"/>
    <tableColumn id="10" name="Criterios de aceptación"/>
    <tableColumn id="11" name="Método de verificación"/>
    <tableColumn id="12" name="Responsable"/>
    <tableColumn id="13" name="Estado"/>
    <tableColumn id="14" name="Versión"/>
    <tableColumn id="15" name="Línea base"/>
    <tableColumn id="16" name="Fecha creación"/>
    <tableColumn id="17" name="Última modificación"/>
    <tableColumn id="18" name="Dependencias"/>
    <tableColumn id="19" name="Conflictos / TBD"/>
    <tableColumn id="20" name="Release / iteración"/>
    <tableColumn id="21" name="Aprobador"/>
    <tableColumn id="22" name="Fecha aprobación"/>
    <tableColumn id="23" name="Observaciones"/>
  </tableColumns>
</table>
</file>

<file path=xl/tables/table11.xml><?xml version="1.0" encoding="utf-8"?>
<table xmlns="http://schemas.openxmlformats.org/spreadsheetml/2006/main" id="11" name="RTMTable" displayName="RTMTable" ref="A4:M204" headerRowCount="1" totalsRowCount="0" totalsRowShown="0">
  <tableColumns count="13">
    <tableColumn id="1" name="Objetivo / regla de negocio"/>
    <tableColumn id="2" name="Necesidad del interesado"/>
    <tableColumn id="3" name="ID requisito"/>
    <tableColumn id="4" name="Caso de uso / historia"/>
    <tableColumn id="5" name="Componente de diseño"/>
    <tableColumn id="6" name="Código / módulo"/>
    <tableColumn id="7" name="Caso de prueba"/>
    <tableColumn id="8" name="Resultado de verificación"/>
    <tableColumn id="9" name="Release / iteración"/>
    <tableColumn id="10" name="ID cambio"/>
    <tableColumn id="11" name="Trazabilidad hacia atrás"/>
    <tableColumn id="12" name="Trazabilidad hacia adelante"/>
    <tableColumn id="13" name="Cobertura total"/>
  </tableColumns>
</table>
</file>

<file path=xl/tables/table12.xml><?xml version="1.0" encoding="utf-8"?>
<table xmlns="http://schemas.openxmlformats.org/spreadsheetml/2006/main" id="12" name="VersionesTable" displayName="VersionesTable" ref="A4:M204" headerRowCount="1" totalsRowCount="0" totalsRowShown="0">
  <tableColumns count="13">
    <tableColumn id="1" name="Elemento ID"/>
    <tableColumn id="2" name="Tipo de elemento"/>
    <tableColumn id="3" name="Versión anterior"/>
    <tableColumn id="4" name="Nueva versión"/>
    <tableColumn id="5" name="Fecha"/>
    <tableColumn id="6" name="Autor"/>
    <tableColumn id="7" name="Resumen del cambio"/>
    <tableColumn id="8" name="Motivo"/>
    <tableColumn id="9" name="ID cambio"/>
    <tableColumn id="10" name="Línea base"/>
    <tableColumn id="11" name="Aprobado por"/>
    <tableColumn id="12" name="Repositorio / etiqueta"/>
    <tableColumn id="13" name="¿Versión vigente?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  <col collapsed="false" customWidth="true" hidden="false" outlineLevel="0" max="8" min="7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8" customFormat="false" ht="15" hidden="false" customHeight="false" outlineLevel="0" collapsed="false">
      <c r="A8" s="4" t="s">
        <v>4</v>
      </c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6" t="s">
        <v>5</v>
      </c>
      <c r="B9" s="6"/>
      <c r="C9" s="5" t="s">
        <v>6</v>
      </c>
      <c r="D9" s="5"/>
      <c r="E9" s="5"/>
      <c r="F9" s="5"/>
      <c r="G9" s="7" t="s">
        <v>7</v>
      </c>
      <c r="H9" s="7"/>
    </row>
    <row r="10" customFormat="false" ht="15" hidden="false" customHeight="false" outlineLevel="0" collapsed="false">
      <c r="A10" s="6"/>
      <c r="B10" s="6"/>
      <c r="C10" s="5"/>
      <c r="D10" s="5"/>
      <c r="E10" s="5"/>
      <c r="F10" s="5"/>
      <c r="G10" s="7"/>
      <c r="H10" s="7"/>
    </row>
    <row r="12" customFormat="false" ht="15" hidden="false" customHeight="true" outlineLevel="0" collapsed="false">
      <c r="A12" s="6" t="s">
        <v>8</v>
      </c>
      <c r="B12" s="6"/>
      <c r="C12" s="5" t="s">
        <v>9</v>
      </c>
      <c r="D12" s="5"/>
      <c r="E12" s="5"/>
      <c r="F12" s="5"/>
      <c r="G12" s="7" t="s">
        <v>10</v>
      </c>
      <c r="H12" s="7"/>
    </row>
    <row r="13" customFormat="false" ht="15" hidden="false" customHeight="false" outlineLevel="0" collapsed="false">
      <c r="A13" s="6"/>
      <c r="B13" s="6"/>
      <c r="C13" s="5"/>
      <c r="D13" s="5"/>
      <c r="E13" s="5"/>
      <c r="F13" s="5"/>
      <c r="G13" s="7"/>
      <c r="H13" s="7"/>
    </row>
    <row r="15" customFormat="false" ht="15" hidden="false" customHeight="true" outlineLevel="0" collapsed="false">
      <c r="A15" s="6" t="s">
        <v>11</v>
      </c>
      <c r="B15" s="6"/>
      <c r="C15" s="5" t="s">
        <v>12</v>
      </c>
      <c r="D15" s="5"/>
      <c r="E15" s="5"/>
      <c r="F15" s="5"/>
      <c r="G15" s="7" t="s">
        <v>13</v>
      </c>
      <c r="H15" s="7"/>
    </row>
    <row r="16" customFormat="false" ht="15" hidden="false" customHeight="false" outlineLevel="0" collapsed="false">
      <c r="A16" s="6"/>
      <c r="B16" s="6"/>
      <c r="C16" s="5"/>
      <c r="D16" s="5"/>
      <c r="E16" s="5"/>
      <c r="F16" s="5"/>
      <c r="G16" s="7"/>
      <c r="H16" s="7"/>
    </row>
    <row r="18" customFormat="false" ht="15" hidden="false" customHeight="true" outlineLevel="0" collapsed="false">
      <c r="A18" s="6" t="s">
        <v>14</v>
      </c>
      <c r="B18" s="6"/>
      <c r="C18" s="5" t="s">
        <v>15</v>
      </c>
      <c r="D18" s="5"/>
      <c r="E18" s="5"/>
      <c r="F18" s="5"/>
      <c r="G18" s="7" t="s">
        <v>16</v>
      </c>
      <c r="H18" s="7"/>
    </row>
    <row r="19" customFormat="false" ht="15" hidden="false" customHeight="false" outlineLevel="0" collapsed="false">
      <c r="A19" s="6"/>
      <c r="B19" s="6"/>
      <c r="C19" s="5"/>
      <c r="D19" s="5"/>
      <c r="E19" s="5"/>
      <c r="F19" s="5"/>
      <c r="G19" s="7"/>
      <c r="H19" s="7"/>
    </row>
    <row r="21" customFormat="false" ht="15" hidden="false" customHeight="true" outlineLevel="0" collapsed="false">
      <c r="A21" s="6" t="s">
        <v>17</v>
      </c>
      <c r="B21" s="6"/>
      <c r="C21" s="5" t="s">
        <v>18</v>
      </c>
      <c r="D21" s="5"/>
      <c r="E21" s="5"/>
      <c r="F21" s="5"/>
      <c r="G21" s="7" t="s">
        <v>19</v>
      </c>
      <c r="H21" s="7"/>
    </row>
    <row r="22" customFormat="false" ht="15" hidden="false" customHeight="false" outlineLevel="0" collapsed="false">
      <c r="A22" s="6"/>
      <c r="B22" s="6"/>
      <c r="C22" s="5"/>
      <c r="D22" s="5"/>
      <c r="E22" s="5"/>
      <c r="F22" s="5"/>
      <c r="G22" s="7"/>
      <c r="H22" s="7"/>
    </row>
    <row r="25" customFormat="false" ht="15" hidden="false" customHeight="false" outlineLevel="0" collapsed="false">
      <c r="A25" s="4" t="s">
        <v>20</v>
      </c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8" t="s">
        <v>21</v>
      </c>
      <c r="B26" s="5" t="s">
        <v>22</v>
      </c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A27" s="8" t="s">
        <v>23</v>
      </c>
      <c r="B27" s="5" t="s">
        <v>24</v>
      </c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8" t="s">
        <v>25</v>
      </c>
      <c r="B28" s="5" t="s">
        <v>26</v>
      </c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8" t="s">
        <v>27</v>
      </c>
      <c r="B29" s="5" t="s">
        <v>28</v>
      </c>
      <c r="C29" s="5"/>
      <c r="D29" s="5"/>
      <c r="E29" s="5"/>
      <c r="F29" s="5"/>
      <c r="G29" s="5"/>
      <c r="H29" s="5"/>
    </row>
    <row r="30" customFormat="false" ht="15" hidden="false" customHeight="true" outlineLevel="0" collapsed="false">
      <c r="A30" s="8" t="s">
        <v>29</v>
      </c>
      <c r="B30" s="5" t="s">
        <v>30</v>
      </c>
      <c r="C30" s="5"/>
      <c r="D30" s="5"/>
      <c r="E30" s="5"/>
      <c r="F30" s="5"/>
      <c r="G30" s="5"/>
      <c r="H30" s="5"/>
    </row>
    <row r="32" customFormat="false" ht="15" hidden="false" customHeight="false" outlineLevel="0" collapsed="false">
      <c r="A32" s="4" t="s">
        <v>31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32</v>
      </c>
      <c r="B33" s="9" t="s">
        <v>33</v>
      </c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0" t="s">
        <v>7</v>
      </c>
      <c r="B34" s="5" t="s">
        <v>34</v>
      </c>
      <c r="C34" s="5"/>
      <c r="D34" s="5"/>
      <c r="E34" s="5"/>
      <c r="F34" s="5"/>
      <c r="G34" s="5"/>
      <c r="H34" s="5"/>
    </row>
    <row r="35" customFormat="false" ht="15" hidden="false" customHeight="true" outlineLevel="0" collapsed="false">
      <c r="A35" s="10" t="s">
        <v>35</v>
      </c>
      <c r="B35" s="5" t="s">
        <v>36</v>
      </c>
      <c r="C35" s="5"/>
      <c r="D35" s="5"/>
      <c r="E35" s="5"/>
      <c r="F35" s="5"/>
      <c r="G35" s="5"/>
      <c r="H35" s="5"/>
    </row>
    <row r="36" customFormat="false" ht="15" hidden="false" customHeight="true" outlineLevel="0" collapsed="false">
      <c r="A36" s="10" t="s">
        <v>37</v>
      </c>
      <c r="B36" s="5" t="s">
        <v>38</v>
      </c>
      <c r="C36" s="5"/>
      <c r="D36" s="5"/>
      <c r="E36" s="5"/>
      <c r="F36" s="5"/>
      <c r="G36" s="5"/>
      <c r="H36" s="5"/>
    </row>
    <row r="37" customFormat="false" ht="15" hidden="false" customHeight="true" outlineLevel="0" collapsed="false">
      <c r="A37" s="10" t="s">
        <v>13</v>
      </c>
      <c r="B37" s="5" t="s">
        <v>39</v>
      </c>
      <c r="C37" s="5"/>
      <c r="D37" s="5"/>
      <c r="E37" s="5"/>
      <c r="F37" s="5"/>
      <c r="G37" s="5"/>
      <c r="H37" s="5"/>
    </row>
    <row r="38" customFormat="false" ht="15" hidden="false" customHeight="true" outlineLevel="0" collapsed="false">
      <c r="A38" s="10" t="s">
        <v>40</v>
      </c>
      <c r="B38" s="5" t="s">
        <v>41</v>
      </c>
      <c r="C38" s="5"/>
      <c r="D38" s="5"/>
      <c r="E38" s="5"/>
      <c r="F38" s="5"/>
      <c r="G38" s="5"/>
      <c r="H38" s="5"/>
    </row>
    <row r="39" customFormat="false" ht="15" hidden="false" customHeight="true" outlineLevel="0" collapsed="false">
      <c r="A39" s="10" t="s">
        <v>42</v>
      </c>
      <c r="B39" s="5" t="s">
        <v>43</v>
      </c>
      <c r="C39" s="5"/>
      <c r="D39" s="5"/>
      <c r="E39" s="5"/>
      <c r="F39" s="5"/>
      <c r="G39" s="5"/>
      <c r="H39" s="5"/>
    </row>
    <row r="40" customFormat="false" ht="15" hidden="false" customHeight="true" outlineLevel="0" collapsed="false">
      <c r="A40" s="10" t="s">
        <v>44</v>
      </c>
      <c r="B40" s="5" t="s">
        <v>45</v>
      </c>
      <c r="C40" s="5"/>
      <c r="D40" s="5"/>
      <c r="E40" s="5"/>
      <c r="F40" s="5"/>
      <c r="G40" s="5"/>
      <c r="H40" s="5"/>
    </row>
    <row r="41" customFormat="false" ht="15" hidden="false" customHeight="true" outlineLevel="0" collapsed="false">
      <c r="A41" s="10" t="s">
        <v>46</v>
      </c>
      <c r="B41" s="5" t="s">
        <v>47</v>
      </c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A42" s="10" t="s">
        <v>48</v>
      </c>
      <c r="B42" s="5" t="s">
        <v>49</v>
      </c>
      <c r="C42" s="5"/>
      <c r="D42" s="5"/>
      <c r="E42" s="5"/>
      <c r="F42" s="5"/>
      <c r="G42" s="5"/>
      <c r="H42" s="5"/>
    </row>
    <row r="43" customFormat="false" ht="15" hidden="false" customHeight="true" outlineLevel="0" collapsed="false">
      <c r="A43" s="10" t="s">
        <v>50</v>
      </c>
      <c r="B43" s="5" t="s">
        <v>51</v>
      </c>
      <c r="C43" s="5"/>
      <c r="D43" s="5"/>
      <c r="E43" s="5"/>
      <c r="F43" s="5"/>
      <c r="G43" s="5"/>
      <c r="H43" s="5"/>
    </row>
    <row r="44" customFormat="false" ht="15" hidden="false" customHeight="true" outlineLevel="0" collapsed="false">
      <c r="A44" s="10" t="s">
        <v>52</v>
      </c>
      <c r="B44" s="5" t="s">
        <v>53</v>
      </c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10" t="s">
        <v>54</v>
      </c>
      <c r="B45" s="5" t="s">
        <v>55</v>
      </c>
      <c r="C45" s="5"/>
      <c r="D45" s="5"/>
      <c r="E45" s="5"/>
      <c r="F45" s="5"/>
      <c r="G45" s="5"/>
      <c r="H45" s="5"/>
    </row>
  </sheetData>
  <mergeCells count="39">
    <mergeCell ref="A1:H1"/>
    <mergeCell ref="A2:H2"/>
    <mergeCell ref="A4:H4"/>
    <mergeCell ref="A5:H6"/>
    <mergeCell ref="A8:H8"/>
    <mergeCell ref="A9:B10"/>
    <mergeCell ref="C9:F10"/>
    <mergeCell ref="G9:H10"/>
    <mergeCell ref="A12:B13"/>
    <mergeCell ref="C12:F13"/>
    <mergeCell ref="G12:H13"/>
    <mergeCell ref="A15:B16"/>
    <mergeCell ref="C15:F16"/>
    <mergeCell ref="G15:H16"/>
    <mergeCell ref="A18:B19"/>
    <mergeCell ref="C18:F19"/>
    <mergeCell ref="G18:H19"/>
    <mergeCell ref="A21:B22"/>
    <mergeCell ref="C21:F22"/>
    <mergeCell ref="G21:H22"/>
    <mergeCell ref="A25:H25"/>
    <mergeCell ref="B26:H26"/>
    <mergeCell ref="B27:H27"/>
    <mergeCell ref="B28:H28"/>
    <mergeCell ref="B29:H29"/>
    <mergeCell ref="B30:H30"/>
    <mergeCell ref="A32:H32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2"/>
    <col collapsed="false" customWidth="true" hidden="false" outlineLevel="0" max="3" min="3" style="1" width="23"/>
    <col collapsed="false" customWidth="true" hidden="false" outlineLevel="0" max="4" min="4" style="1" width="22"/>
    <col collapsed="false" customWidth="true" hidden="false" outlineLevel="0" max="6" min="5" style="1" width="25"/>
  </cols>
  <sheetData>
    <row r="1" customFormat="false" ht="30" hidden="false" customHeight="true" outlineLevel="0" collapsed="false">
      <c r="A1" s="11" t="s">
        <v>56</v>
      </c>
      <c r="B1" s="11"/>
      <c r="C1" s="11"/>
      <c r="D1" s="11"/>
      <c r="E1" s="11"/>
      <c r="F1" s="11"/>
    </row>
    <row r="2" customFormat="false" ht="33.75" hidden="false" customHeight="true" outlineLevel="0" collapsed="false">
      <c r="A2" s="3" t="s">
        <v>57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58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</row>
    <row r="6" customFormat="false" ht="15" hidden="false" customHeight="false" outlineLevel="0" collapsed="false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2" t="n">
        <v>46221</v>
      </c>
    </row>
    <row r="7" customFormat="false" ht="15" hidden="false" customHeight="false" outlineLevel="0" collapsed="false">
      <c r="A7" s="1" t="s">
        <v>70</v>
      </c>
      <c r="B7" s="13" t="s">
        <v>71</v>
      </c>
      <c r="C7" s="1" t="s">
        <v>72</v>
      </c>
      <c r="D7" s="1" t="s">
        <v>73</v>
      </c>
      <c r="E7" s="1" t="s">
        <v>74</v>
      </c>
      <c r="F7" s="1" t="s">
        <v>75</v>
      </c>
    </row>
    <row r="9" customFormat="false" ht="15" hidden="false" customHeight="false" outlineLevel="0" collapsed="false">
      <c r="A9" s="4" t="s">
        <v>76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9" t="s">
        <v>77</v>
      </c>
      <c r="B10" s="9" t="s">
        <v>78</v>
      </c>
      <c r="C10" s="9" t="s">
        <v>79</v>
      </c>
      <c r="D10" s="9" t="s">
        <v>80</v>
      </c>
      <c r="E10" s="9" t="s">
        <v>81</v>
      </c>
      <c r="F10" s="9" t="s">
        <v>82</v>
      </c>
    </row>
    <row r="11" customFormat="false" ht="28.35" hidden="false" customHeight="false" outlineLevel="0" collapsed="false">
      <c r="A11" s="10" t="s">
        <v>83</v>
      </c>
      <c r="B11" s="10" t="s">
        <v>84</v>
      </c>
      <c r="C11" s="10" t="s">
        <v>67</v>
      </c>
      <c r="D11" s="10" t="s">
        <v>85</v>
      </c>
      <c r="E11" s="10" t="s">
        <v>86</v>
      </c>
      <c r="F11" s="10" t="s">
        <v>87</v>
      </c>
    </row>
    <row r="12" customFormat="false" ht="28.35" hidden="false" customHeight="false" outlineLevel="0" collapsed="false">
      <c r="A12" s="10" t="s">
        <v>88</v>
      </c>
      <c r="B12" s="10" t="s">
        <v>89</v>
      </c>
      <c r="C12" s="10" t="s">
        <v>67</v>
      </c>
      <c r="D12" s="10" t="s">
        <v>90</v>
      </c>
      <c r="E12" s="10" t="s">
        <v>35</v>
      </c>
      <c r="F12" s="10" t="s">
        <v>87</v>
      </c>
    </row>
    <row r="13" customFormat="false" ht="28.35" hidden="false" customHeight="false" outlineLevel="0" collapsed="false">
      <c r="A13" s="10" t="s">
        <v>91</v>
      </c>
      <c r="B13" s="10" t="s">
        <v>92</v>
      </c>
      <c r="C13" s="10" t="s">
        <v>93</v>
      </c>
      <c r="D13" s="10" t="s">
        <v>94</v>
      </c>
      <c r="E13" s="10" t="s">
        <v>37</v>
      </c>
      <c r="F13" s="10" t="s">
        <v>95</v>
      </c>
    </row>
    <row r="14" customFormat="false" ht="28.35" hidden="false" customHeight="false" outlineLevel="0" collapsed="false">
      <c r="A14" s="10" t="s">
        <v>96</v>
      </c>
      <c r="B14" s="10" t="s">
        <v>97</v>
      </c>
      <c r="C14" s="10" t="s">
        <v>98</v>
      </c>
      <c r="D14" s="10" t="s">
        <v>99</v>
      </c>
      <c r="E14" s="10" t="s">
        <v>37</v>
      </c>
      <c r="F14" s="10" t="s">
        <v>100</v>
      </c>
    </row>
    <row r="15" customFormat="false" ht="28.35" hidden="false" customHeight="false" outlineLevel="0" collapsed="false">
      <c r="A15" s="10" t="s">
        <v>101</v>
      </c>
      <c r="B15" s="10" t="s">
        <v>102</v>
      </c>
      <c r="C15" s="10" t="s">
        <v>103</v>
      </c>
      <c r="D15" s="10" t="s">
        <v>104</v>
      </c>
      <c r="E15" s="10" t="s">
        <v>105</v>
      </c>
      <c r="F15" s="10" t="s">
        <v>100</v>
      </c>
    </row>
    <row r="16" customFormat="false" ht="41.75" hidden="false" customHeight="false" outlineLevel="0" collapsed="false">
      <c r="A16" s="10" t="s">
        <v>106</v>
      </c>
      <c r="B16" s="10" t="s">
        <v>107</v>
      </c>
      <c r="C16" s="10" t="s">
        <v>67</v>
      </c>
      <c r="D16" s="10" t="s">
        <v>85</v>
      </c>
      <c r="E16" s="10" t="s">
        <v>35</v>
      </c>
      <c r="F16" s="10" t="s">
        <v>108</v>
      </c>
    </row>
    <row r="17" customFormat="false" ht="28.35" hidden="false" customHeight="false" outlineLevel="0" collapsed="false">
      <c r="A17" s="10" t="s">
        <v>109</v>
      </c>
      <c r="B17" s="10" t="s">
        <v>110</v>
      </c>
      <c r="C17" s="10" t="s">
        <v>111</v>
      </c>
      <c r="D17" s="10" t="s">
        <v>112</v>
      </c>
      <c r="E17" s="10" t="s">
        <v>35</v>
      </c>
      <c r="F17" s="10" t="s">
        <v>100</v>
      </c>
    </row>
    <row r="18" customFormat="false" ht="28.35" hidden="false" customHeight="false" outlineLevel="0" collapsed="false">
      <c r="A18" s="10" t="s">
        <v>113</v>
      </c>
      <c r="B18" s="10" t="s">
        <v>114</v>
      </c>
      <c r="C18" s="10" t="s">
        <v>115</v>
      </c>
      <c r="D18" s="10" t="s">
        <v>116</v>
      </c>
      <c r="E18" s="10" t="s">
        <v>13</v>
      </c>
      <c r="F18" s="10" t="s">
        <v>87</v>
      </c>
    </row>
    <row r="19" customFormat="false" ht="28.35" hidden="false" customHeight="false" outlineLevel="0" collapsed="false">
      <c r="A19" s="10" t="s">
        <v>117</v>
      </c>
      <c r="B19" s="10" t="s">
        <v>118</v>
      </c>
      <c r="C19" s="10" t="s">
        <v>119</v>
      </c>
      <c r="D19" s="10" t="s">
        <v>120</v>
      </c>
      <c r="E19" s="10" t="s">
        <v>46</v>
      </c>
      <c r="F19" s="10" t="s">
        <v>87</v>
      </c>
    </row>
    <row r="20" customFormat="false" ht="28.35" hidden="false" customHeight="false" outlineLevel="0" collapsed="false">
      <c r="A20" s="10" t="s">
        <v>121</v>
      </c>
      <c r="B20" s="10" t="s">
        <v>122</v>
      </c>
      <c r="C20" s="10" t="s">
        <v>123</v>
      </c>
      <c r="D20" s="10" t="s">
        <v>124</v>
      </c>
      <c r="E20" s="10" t="s">
        <v>40</v>
      </c>
      <c r="F20" s="10" t="s">
        <v>108</v>
      </c>
    </row>
    <row r="21" customFormat="false" ht="41.75" hidden="false" customHeight="false" outlineLevel="0" collapsed="false">
      <c r="A21" s="10" t="s">
        <v>125</v>
      </c>
      <c r="B21" s="10" t="s">
        <v>126</v>
      </c>
      <c r="C21" s="10" t="s">
        <v>127</v>
      </c>
      <c r="D21" s="10" t="s">
        <v>128</v>
      </c>
      <c r="E21" s="10" t="s">
        <v>42</v>
      </c>
      <c r="F21" s="10" t="s">
        <v>87</v>
      </c>
    </row>
    <row r="22" customFormat="false" ht="28.35" hidden="false" customHeight="false" outlineLevel="0" collapsed="false">
      <c r="A22" s="10" t="s">
        <v>129</v>
      </c>
      <c r="B22" s="10" t="s">
        <v>130</v>
      </c>
      <c r="C22" s="10" t="s">
        <v>131</v>
      </c>
      <c r="D22" s="10" t="s">
        <v>124</v>
      </c>
      <c r="E22" s="10" t="s">
        <v>44</v>
      </c>
      <c r="F22" s="10" t="s">
        <v>108</v>
      </c>
    </row>
    <row r="23" customFormat="false" ht="28.35" hidden="false" customHeight="false" outlineLevel="0" collapsed="false">
      <c r="A23" s="10" t="s">
        <v>132</v>
      </c>
      <c r="B23" s="10" t="s">
        <v>133</v>
      </c>
      <c r="C23" s="10" t="s">
        <v>134</v>
      </c>
      <c r="D23" s="10" t="s">
        <v>124</v>
      </c>
      <c r="E23" s="10" t="s">
        <v>135</v>
      </c>
      <c r="F23" s="10" t="s">
        <v>136</v>
      </c>
    </row>
    <row r="24" customFormat="false" ht="28.35" hidden="false" customHeight="false" outlineLevel="0" collapsed="false">
      <c r="A24" s="10" t="s">
        <v>137</v>
      </c>
      <c r="B24" s="10" t="s">
        <v>138</v>
      </c>
      <c r="C24" s="10" t="s">
        <v>139</v>
      </c>
      <c r="D24" s="10" t="s">
        <v>140</v>
      </c>
      <c r="E24" s="10" t="s">
        <v>141</v>
      </c>
      <c r="F24" s="10" t="s">
        <v>87</v>
      </c>
    </row>
    <row r="25" customFormat="false" ht="28.35" hidden="false" customHeight="false" outlineLevel="0" collapsed="false">
      <c r="A25" s="10" t="s">
        <v>142</v>
      </c>
      <c r="B25" s="10" t="s">
        <v>143</v>
      </c>
      <c r="C25" s="10" t="s">
        <v>67</v>
      </c>
      <c r="D25" s="10" t="s">
        <v>85</v>
      </c>
      <c r="E25" s="10" t="s">
        <v>48</v>
      </c>
      <c r="F25" s="10" t="s">
        <v>108</v>
      </c>
    </row>
    <row r="26" customFormat="false" ht="28.35" hidden="false" customHeight="false" outlineLevel="0" collapsed="false">
      <c r="A26" s="10" t="s">
        <v>27</v>
      </c>
      <c r="B26" s="10" t="s">
        <v>144</v>
      </c>
      <c r="C26" s="10" t="s">
        <v>145</v>
      </c>
      <c r="D26" s="10" t="s">
        <v>146</v>
      </c>
      <c r="E26" s="10" t="s">
        <v>50</v>
      </c>
      <c r="F26" s="10" t="s">
        <v>87</v>
      </c>
    </row>
    <row r="27" customFormat="false" ht="28.35" hidden="false" customHeight="false" outlineLevel="0" collapsed="false">
      <c r="A27" s="10" t="s">
        <v>147</v>
      </c>
      <c r="B27" s="10" t="s">
        <v>148</v>
      </c>
      <c r="C27" s="10" t="s">
        <v>149</v>
      </c>
      <c r="D27" s="10" t="s">
        <v>150</v>
      </c>
      <c r="E27" s="10" t="s">
        <v>151</v>
      </c>
      <c r="F27" s="10" t="s">
        <v>108</v>
      </c>
    </row>
    <row r="28" customFormat="false" ht="28.35" hidden="false" customHeight="false" outlineLevel="0" collapsed="false">
      <c r="A28" s="10" t="s">
        <v>152</v>
      </c>
      <c r="B28" s="10" t="s">
        <v>153</v>
      </c>
      <c r="C28" s="10" t="s">
        <v>67</v>
      </c>
      <c r="D28" s="10" t="s">
        <v>154</v>
      </c>
      <c r="E28" s="10" t="s">
        <v>52</v>
      </c>
      <c r="F28" s="10" t="s">
        <v>100</v>
      </c>
    </row>
    <row r="29" customFormat="false" ht="41.75" hidden="false" customHeight="false" outlineLevel="0" collapsed="false">
      <c r="A29" s="10" t="s">
        <v>155</v>
      </c>
      <c r="B29" s="10" t="s">
        <v>156</v>
      </c>
      <c r="C29" s="10" t="s">
        <v>119</v>
      </c>
      <c r="D29" s="10" t="s">
        <v>157</v>
      </c>
      <c r="E29" s="10" t="s">
        <v>158</v>
      </c>
      <c r="F29" s="10" t="s">
        <v>159</v>
      </c>
    </row>
  </sheetData>
  <mergeCells count="4">
    <mergeCell ref="A1:F1"/>
    <mergeCell ref="A2:F2"/>
    <mergeCell ref="A4:F4"/>
    <mergeCell ref="A9:F9"/>
  </mergeCells>
  <dataValidations count="1">
    <dataValidation allowBlank="false" errorStyle="stop" operator="between" showDropDown="false" showErrorMessage="false" showInputMessage="false" sqref="B7" type="list">
      <formula1>"Predictivo,Ágil,Híbrido"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50"/>
    <col collapsed="false" customWidth="true" hidden="false" outlineLevel="0" max="5" min="5" style="1" width="28"/>
    <col collapsed="false" customWidth="true" hidden="false" outlineLevel="0" max="6" min="6" style="1" width="36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48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10"/>
    <col collapsed="false" customWidth="true" hidden="false" outlineLevel="0" max="16" min="15" style="1" width="14"/>
    <col collapsed="false" customWidth="true" hidden="false" outlineLevel="0" max="17" min="17" style="1" width="16"/>
    <col collapsed="false" customWidth="true" hidden="false" outlineLevel="0" max="18" min="18" style="1" width="22"/>
    <col collapsed="false" customWidth="true" hidden="false" outlineLevel="0" max="19" min="19" style="1" width="26"/>
    <col collapsed="false" customWidth="true" hidden="false" outlineLevel="0" max="20" min="20" style="1" width="18"/>
    <col collapsed="false" customWidth="true" hidden="false" outlineLevel="0" max="21" min="21" style="1" width="20"/>
    <col collapsed="false" customWidth="true" hidden="false" outlineLevel="0" max="22" min="22" style="1" width="16"/>
    <col collapsed="false" customWidth="true" hidden="false" outlineLevel="0" max="23" min="23" style="1" width="30"/>
  </cols>
  <sheetData>
    <row r="1" customFormat="false" ht="30" hidden="false" customHeight="true" outlineLevel="0" collapsed="false">
      <c r="A1" s="2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33.75" hidden="false" customHeight="true" outlineLevel="0" collapsed="false">
      <c r="A2" s="3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42" hidden="false" customHeight="true" outlineLevel="0" collapsed="false">
      <c r="A4" s="14" t="s">
        <v>162</v>
      </c>
      <c r="B4" s="9" t="s">
        <v>163</v>
      </c>
      <c r="C4" s="9" t="s">
        <v>164</v>
      </c>
      <c r="D4" s="9" t="s">
        <v>165</v>
      </c>
      <c r="E4" s="9" t="s">
        <v>166</v>
      </c>
      <c r="F4" s="9" t="s">
        <v>167</v>
      </c>
      <c r="G4" s="9" t="s">
        <v>168</v>
      </c>
      <c r="H4" s="9" t="s">
        <v>169</v>
      </c>
      <c r="I4" s="9" t="s">
        <v>170</v>
      </c>
      <c r="J4" s="9" t="s">
        <v>171</v>
      </c>
      <c r="K4" s="9" t="s">
        <v>172</v>
      </c>
      <c r="L4" s="9" t="s">
        <v>79</v>
      </c>
      <c r="M4" s="9" t="s">
        <v>74</v>
      </c>
      <c r="N4" s="9" t="s">
        <v>173</v>
      </c>
      <c r="O4" s="9" t="s">
        <v>174</v>
      </c>
      <c r="P4" s="9" t="s">
        <v>175</v>
      </c>
      <c r="Q4" s="9" t="s">
        <v>176</v>
      </c>
      <c r="R4" s="9" t="s">
        <v>177</v>
      </c>
      <c r="S4" s="9" t="s">
        <v>178</v>
      </c>
      <c r="T4" s="9" t="s">
        <v>179</v>
      </c>
      <c r="U4" s="9" t="s">
        <v>180</v>
      </c>
      <c r="V4" s="9" t="s">
        <v>181</v>
      </c>
      <c r="W4" s="9" t="s">
        <v>182</v>
      </c>
    </row>
    <row r="5" customFormat="false" ht="68.65" hidden="false" customHeight="false" outlineLevel="0" collapsed="false">
      <c r="A5" s="15" t="s">
        <v>183</v>
      </c>
      <c r="B5" s="16" t="s">
        <v>184</v>
      </c>
      <c r="C5" s="16" t="s">
        <v>185</v>
      </c>
      <c r="D5" s="16" t="s">
        <v>186</v>
      </c>
      <c r="E5" s="16" t="s">
        <v>187</v>
      </c>
      <c r="F5" s="16" t="s">
        <v>188</v>
      </c>
      <c r="G5" s="16" t="s">
        <v>189</v>
      </c>
      <c r="H5" s="16" t="s">
        <v>190</v>
      </c>
      <c r="I5" s="16" t="s">
        <v>191</v>
      </c>
      <c r="J5" s="16" t="s">
        <v>192</v>
      </c>
      <c r="K5" s="16" t="s">
        <v>193</v>
      </c>
      <c r="L5" s="16" t="s">
        <v>194</v>
      </c>
      <c r="M5" s="16" t="s">
        <v>195</v>
      </c>
      <c r="N5" s="16" t="s">
        <v>64</v>
      </c>
      <c r="O5" s="16"/>
      <c r="P5" s="17" t="n">
        <v>46220</v>
      </c>
      <c r="Q5" s="17" t="n">
        <v>46221</v>
      </c>
      <c r="R5" s="16" t="s">
        <v>196</v>
      </c>
      <c r="S5" s="16" t="s">
        <v>197</v>
      </c>
      <c r="T5" s="16" t="s">
        <v>198</v>
      </c>
      <c r="U5" s="16"/>
      <c r="V5" s="17"/>
      <c r="W5" s="16" t="s">
        <v>199</v>
      </c>
    </row>
    <row r="6" customFormat="false" ht="82.05" hidden="false" customHeight="false" outlineLevel="0" collapsed="false">
      <c r="A6" s="18" t="s">
        <v>200</v>
      </c>
      <c r="B6" s="5" t="s">
        <v>184</v>
      </c>
      <c r="C6" s="10" t="s">
        <v>201</v>
      </c>
      <c r="D6" s="10" t="s">
        <v>202</v>
      </c>
      <c r="E6" s="10" t="s">
        <v>203</v>
      </c>
      <c r="F6" s="10" t="s">
        <v>204</v>
      </c>
      <c r="G6" s="5" t="s">
        <v>189</v>
      </c>
      <c r="H6" s="5" t="s">
        <v>190</v>
      </c>
      <c r="I6" s="5" t="s">
        <v>191</v>
      </c>
      <c r="J6" s="10" t="s">
        <v>205</v>
      </c>
      <c r="K6" s="5" t="s">
        <v>193</v>
      </c>
      <c r="L6" s="10" t="s">
        <v>194</v>
      </c>
      <c r="M6" s="5" t="s">
        <v>195</v>
      </c>
      <c r="N6" s="10" t="s">
        <v>64</v>
      </c>
      <c r="O6" s="10"/>
      <c r="P6" s="19" t="n">
        <v>46220</v>
      </c>
      <c r="Q6" s="19" t="n">
        <v>46221</v>
      </c>
      <c r="R6" s="10" t="s">
        <v>206</v>
      </c>
      <c r="S6" s="10" t="s">
        <v>207</v>
      </c>
      <c r="T6" s="10" t="s">
        <v>198</v>
      </c>
      <c r="U6" s="10"/>
      <c r="V6" s="19"/>
      <c r="W6" s="10" t="s">
        <v>208</v>
      </c>
    </row>
    <row r="7" customFormat="false" ht="82.05" hidden="false" customHeight="false" outlineLevel="0" collapsed="false">
      <c r="A7" s="18" t="s">
        <v>209</v>
      </c>
      <c r="B7" s="5" t="s">
        <v>184</v>
      </c>
      <c r="C7" s="10" t="s">
        <v>210</v>
      </c>
      <c r="D7" s="10" t="s">
        <v>211</v>
      </c>
      <c r="E7" s="10" t="s">
        <v>212</v>
      </c>
      <c r="F7" s="10" t="s">
        <v>213</v>
      </c>
      <c r="G7" s="5" t="s">
        <v>189</v>
      </c>
      <c r="H7" s="5" t="s">
        <v>214</v>
      </c>
      <c r="I7" s="5" t="s">
        <v>215</v>
      </c>
      <c r="J7" s="10" t="s">
        <v>216</v>
      </c>
      <c r="K7" s="5" t="s">
        <v>193</v>
      </c>
      <c r="L7" s="10" t="s">
        <v>194</v>
      </c>
      <c r="M7" s="5" t="s">
        <v>217</v>
      </c>
      <c r="N7" s="10" t="s">
        <v>64</v>
      </c>
      <c r="O7" s="10"/>
      <c r="P7" s="19" t="n">
        <v>46220</v>
      </c>
      <c r="Q7" s="19" t="n">
        <v>46221</v>
      </c>
      <c r="R7" s="10" t="s">
        <v>218</v>
      </c>
      <c r="S7" s="10" t="s">
        <v>219</v>
      </c>
      <c r="T7" s="10" t="s">
        <v>198</v>
      </c>
      <c r="U7" s="10"/>
      <c r="V7" s="19"/>
      <c r="W7" s="10" t="s">
        <v>220</v>
      </c>
    </row>
    <row r="8" customFormat="false" ht="68.65" hidden="false" customHeight="false" outlineLevel="0" collapsed="false">
      <c r="A8" s="18" t="s">
        <v>221</v>
      </c>
      <c r="B8" s="5" t="s">
        <v>184</v>
      </c>
      <c r="C8" s="10" t="s">
        <v>222</v>
      </c>
      <c r="D8" s="10" t="s">
        <v>223</v>
      </c>
      <c r="E8" s="10" t="s">
        <v>187</v>
      </c>
      <c r="F8" s="10" t="s">
        <v>224</v>
      </c>
      <c r="G8" s="5" t="s">
        <v>189</v>
      </c>
      <c r="H8" s="5" t="s">
        <v>190</v>
      </c>
      <c r="I8" s="5" t="s">
        <v>191</v>
      </c>
      <c r="J8" s="10" t="s">
        <v>225</v>
      </c>
      <c r="K8" s="5" t="s">
        <v>193</v>
      </c>
      <c r="L8" s="10" t="s">
        <v>194</v>
      </c>
      <c r="M8" s="5" t="s">
        <v>195</v>
      </c>
      <c r="N8" s="10" t="s">
        <v>64</v>
      </c>
      <c r="O8" s="10"/>
      <c r="P8" s="19" t="n">
        <v>46220</v>
      </c>
      <c r="Q8" s="19" t="n">
        <v>46221</v>
      </c>
      <c r="R8" s="10" t="s">
        <v>226</v>
      </c>
      <c r="S8" s="10" t="s">
        <v>227</v>
      </c>
      <c r="T8" s="10" t="s">
        <v>198</v>
      </c>
      <c r="U8" s="10"/>
      <c r="V8" s="19"/>
      <c r="W8" s="10" t="s">
        <v>228</v>
      </c>
    </row>
    <row r="9" customFormat="false" ht="82.05" hidden="false" customHeight="false" outlineLevel="0" collapsed="false">
      <c r="A9" s="18" t="s">
        <v>229</v>
      </c>
      <c r="B9" s="5" t="s">
        <v>184</v>
      </c>
      <c r="C9" s="10" t="s">
        <v>230</v>
      </c>
      <c r="D9" s="10" t="s">
        <v>231</v>
      </c>
      <c r="E9" s="10" t="s">
        <v>212</v>
      </c>
      <c r="F9" s="10" t="s">
        <v>232</v>
      </c>
      <c r="G9" s="5" t="s">
        <v>189</v>
      </c>
      <c r="H9" s="5" t="s">
        <v>190</v>
      </c>
      <c r="I9" s="5" t="s">
        <v>215</v>
      </c>
      <c r="J9" s="10" t="s">
        <v>233</v>
      </c>
      <c r="K9" s="5" t="s">
        <v>193</v>
      </c>
      <c r="L9" s="10" t="s">
        <v>194</v>
      </c>
      <c r="M9" s="5" t="s">
        <v>195</v>
      </c>
      <c r="N9" s="10" t="s">
        <v>64</v>
      </c>
      <c r="O9" s="10"/>
      <c r="P9" s="19" t="n">
        <v>46220</v>
      </c>
      <c r="Q9" s="19" t="n">
        <v>46221</v>
      </c>
      <c r="R9" s="10" t="s">
        <v>234</v>
      </c>
      <c r="S9" s="10" t="s">
        <v>235</v>
      </c>
      <c r="T9" s="10" t="s">
        <v>198</v>
      </c>
      <c r="U9" s="10"/>
      <c r="V9" s="19"/>
      <c r="W9" s="10" t="s">
        <v>236</v>
      </c>
    </row>
    <row r="10" customFormat="false" ht="82.05" hidden="false" customHeight="false" outlineLevel="0" collapsed="false">
      <c r="A10" s="18" t="s">
        <v>237</v>
      </c>
      <c r="B10" s="5" t="s">
        <v>184</v>
      </c>
      <c r="C10" s="10" t="s">
        <v>238</v>
      </c>
      <c r="D10" s="10" t="s">
        <v>239</v>
      </c>
      <c r="E10" s="10" t="s">
        <v>240</v>
      </c>
      <c r="F10" s="10" t="s">
        <v>241</v>
      </c>
      <c r="G10" s="5" t="s">
        <v>189</v>
      </c>
      <c r="H10" s="5" t="s">
        <v>190</v>
      </c>
      <c r="I10" s="5" t="s">
        <v>242</v>
      </c>
      <c r="J10" s="10" t="s">
        <v>243</v>
      </c>
      <c r="K10" s="5" t="s">
        <v>193</v>
      </c>
      <c r="L10" s="10" t="s">
        <v>194</v>
      </c>
      <c r="M10" s="5" t="s">
        <v>195</v>
      </c>
      <c r="N10" s="10" t="s">
        <v>64</v>
      </c>
      <c r="O10" s="10"/>
      <c r="P10" s="19" t="n">
        <v>46220</v>
      </c>
      <c r="Q10" s="19" t="n">
        <v>46221</v>
      </c>
      <c r="R10" s="10" t="s">
        <v>244</v>
      </c>
      <c r="S10" s="10" t="s">
        <v>245</v>
      </c>
      <c r="T10" s="10" t="s">
        <v>198</v>
      </c>
      <c r="U10" s="10"/>
      <c r="V10" s="19"/>
      <c r="W10" s="10" t="s">
        <v>246</v>
      </c>
    </row>
    <row r="11" customFormat="false" ht="95.5" hidden="false" customHeight="false" outlineLevel="0" collapsed="false">
      <c r="A11" s="18" t="s">
        <v>247</v>
      </c>
      <c r="B11" s="5" t="s">
        <v>184</v>
      </c>
      <c r="C11" s="10" t="s">
        <v>248</v>
      </c>
      <c r="D11" s="10" t="s">
        <v>249</v>
      </c>
      <c r="E11" s="10" t="s">
        <v>203</v>
      </c>
      <c r="F11" s="10" t="s">
        <v>250</v>
      </c>
      <c r="G11" s="5" t="s">
        <v>251</v>
      </c>
      <c r="H11" s="5" t="s">
        <v>214</v>
      </c>
      <c r="I11" s="5" t="s">
        <v>215</v>
      </c>
      <c r="J11" s="10" t="s">
        <v>252</v>
      </c>
      <c r="K11" s="5" t="s">
        <v>193</v>
      </c>
      <c r="L11" s="10" t="s">
        <v>194</v>
      </c>
      <c r="M11" s="5" t="s">
        <v>217</v>
      </c>
      <c r="N11" s="10" t="s">
        <v>64</v>
      </c>
      <c r="O11" s="10"/>
      <c r="P11" s="19" t="n">
        <v>46220</v>
      </c>
      <c r="Q11" s="19" t="n">
        <v>46221</v>
      </c>
      <c r="R11" s="10" t="s">
        <v>253</v>
      </c>
      <c r="S11" s="10" t="s">
        <v>254</v>
      </c>
      <c r="T11" s="10" t="s">
        <v>198</v>
      </c>
      <c r="U11" s="10"/>
      <c r="V11" s="19"/>
      <c r="W11" s="10" t="s">
        <v>255</v>
      </c>
    </row>
    <row r="12" customFormat="false" ht="82.05" hidden="false" customHeight="false" outlineLevel="0" collapsed="false">
      <c r="A12" s="18" t="s">
        <v>256</v>
      </c>
      <c r="B12" s="5" t="s">
        <v>184</v>
      </c>
      <c r="C12" s="10" t="s">
        <v>257</v>
      </c>
      <c r="D12" s="10" t="s">
        <v>258</v>
      </c>
      <c r="E12" s="10" t="s">
        <v>259</v>
      </c>
      <c r="F12" s="10" t="s">
        <v>260</v>
      </c>
      <c r="G12" s="5" t="s">
        <v>189</v>
      </c>
      <c r="H12" s="5" t="s">
        <v>190</v>
      </c>
      <c r="I12" s="5" t="s">
        <v>191</v>
      </c>
      <c r="J12" s="10" t="s">
        <v>261</v>
      </c>
      <c r="K12" s="5" t="s">
        <v>193</v>
      </c>
      <c r="L12" s="10" t="s">
        <v>194</v>
      </c>
      <c r="M12" s="5" t="s">
        <v>195</v>
      </c>
      <c r="N12" s="10" t="s">
        <v>64</v>
      </c>
      <c r="O12" s="10"/>
      <c r="P12" s="19" t="n">
        <v>46220</v>
      </c>
      <c r="Q12" s="19" t="n">
        <v>46221</v>
      </c>
      <c r="R12" s="10" t="s">
        <v>262</v>
      </c>
      <c r="S12" s="10" t="s">
        <v>263</v>
      </c>
      <c r="T12" s="10" t="s">
        <v>198</v>
      </c>
      <c r="U12" s="10"/>
      <c r="V12" s="19"/>
      <c r="W12" s="10" t="s">
        <v>264</v>
      </c>
    </row>
    <row r="13" customFormat="false" ht="68.65" hidden="false" customHeight="false" outlineLevel="0" collapsed="false">
      <c r="A13" s="18" t="s">
        <v>265</v>
      </c>
      <c r="B13" s="5" t="s">
        <v>184</v>
      </c>
      <c r="C13" s="10" t="s">
        <v>266</v>
      </c>
      <c r="D13" s="10" t="s">
        <v>267</v>
      </c>
      <c r="E13" s="10" t="s">
        <v>212</v>
      </c>
      <c r="F13" s="10" t="s">
        <v>268</v>
      </c>
      <c r="G13" s="5" t="s">
        <v>251</v>
      </c>
      <c r="H13" s="5" t="s">
        <v>214</v>
      </c>
      <c r="I13" s="5" t="s">
        <v>215</v>
      </c>
      <c r="J13" s="10" t="s">
        <v>269</v>
      </c>
      <c r="K13" s="5" t="s">
        <v>193</v>
      </c>
      <c r="L13" s="10" t="s">
        <v>194</v>
      </c>
      <c r="M13" s="5" t="s">
        <v>217</v>
      </c>
      <c r="N13" s="10" t="s">
        <v>64</v>
      </c>
      <c r="O13" s="10"/>
      <c r="P13" s="19" t="n">
        <v>46220</v>
      </c>
      <c r="Q13" s="19" t="n">
        <v>46221</v>
      </c>
      <c r="R13" s="10" t="s">
        <v>270</v>
      </c>
      <c r="S13" s="10" t="s">
        <v>271</v>
      </c>
      <c r="T13" s="10" t="s">
        <v>198</v>
      </c>
      <c r="U13" s="10"/>
      <c r="V13" s="19"/>
      <c r="W13" s="10" t="s">
        <v>272</v>
      </c>
    </row>
    <row r="14" customFormat="false" ht="135.8" hidden="false" customHeight="false" outlineLevel="0" collapsed="false">
      <c r="A14" s="18" t="s">
        <v>273</v>
      </c>
      <c r="B14" s="5" t="s">
        <v>184</v>
      </c>
      <c r="C14" s="10" t="s">
        <v>274</v>
      </c>
      <c r="D14" s="10" t="s">
        <v>275</v>
      </c>
      <c r="E14" s="10" t="s">
        <v>276</v>
      </c>
      <c r="F14" s="10" t="s">
        <v>277</v>
      </c>
      <c r="G14" s="5" t="s">
        <v>189</v>
      </c>
      <c r="H14" s="5" t="s">
        <v>214</v>
      </c>
      <c r="I14" s="5" t="s">
        <v>215</v>
      </c>
      <c r="J14" s="10" t="s">
        <v>278</v>
      </c>
      <c r="K14" s="5" t="s">
        <v>193</v>
      </c>
      <c r="L14" s="10" t="s">
        <v>194</v>
      </c>
      <c r="M14" s="5" t="s">
        <v>217</v>
      </c>
      <c r="N14" s="10" t="s">
        <v>64</v>
      </c>
      <c r="O14" s="10"/>
      <c r="P14" s="19" t="n">
        <v>46220</v>
      </c>
      <c r="Q14" s="19" t="n">
        <v>46221</v>
      </c>
      <c r="R14" s="10" t="s">
        <v>279</v>
      </c>
      <c r="S14" s="10" t="s">
        <v>280</v>
      </c>
      <c r="T14" s="10" t="s">
        <v>198</v>
      </c>
      <c r="U14" s="10"/>
      <c r="V14" s="19"/>
      <c r="W14" s="10" t="s">
        <v>281</v>
      </c>
    </row>
    <row r="15" customFormat="false" ht="55.2" hidden="false" customHeight="false" outlineLevel="0" collapsed="false">
      <c r="A15" s="18" t="s">
        <v>282</v>
      </c>
      <c r="B15" s="5" t="s">
        <v>184</v>
      </c>
      <c r="C15" s="10" t="s">
        <v>283</v>
      </c>
      <c r="D15" s="10" t="s">
        <v>284</v>
      </c>
      <c r="E15" s="10" t="s">
        <v>240</v>
      </c>
      <c r="F15" s="10" t="s">
        <v>285</v>
      </c>
      <c r="G15" s="5" t="s">
        <v>251</v>
      </c>
      <c r="H15" s="5" t="s">
        <v>286</v>
      </c>
      <c r="I15" s="5" t="s">
        <v>191</v>
      </c>
      <c r="J15" s="10" t="s">
        <v>287</v>
      </c>
      <c r="K15" s="5" t="s">
        <v>193</v>
      </c>
      <c r="L15" s="10" t="s">
        <v>194</v>
      </c>
      <c r="M15" s="5" t="s">
        <v>288</v>
      </c>
      <c r="N15" s="10" t="s">
        <v>64</v>
      </c>
      <c r="O15" s="10" t="s">
        <v>289</v>
      </c>
      <c r="P15" s="19" t="n">
        <v>46220</v>
      </c>
      <c r="Q15" s="19" t="n">
        <v>46221</v>
      </c>
      <c r="R15" s="10" t="s">
        <v>290</v>
      </c>
      <c r="S15" s="10" t="s">
        <v>291</v>
      </c>
      <c r="T15" s="10" t="s">
        <v>198</v>
      </c>
      <c r="U15" s="10" t="s">
        <v>292</v>
      </c>
      <c r="V15" s="19" t="n">
        <v>46221</v>
      </c>
      <c r="W15" s="10" t="s">
        <v>293</v>
      </c>
    </row>
    <row r="16" customFormat="false" ht="55.2" hidden="false" customHeight="false" outlineLevel="0" collapsed="false">
      <c r="A16" s="18" t="s">
        <v>294</v>
      </c>
      <c r="B16" s="5" t="s">
        <v>184</v>
      </c>
      <c r="C16" s="10" t="s">
        <v>295</v>
      </c>
      <c r="D16" s="10" t="s">
        <v>296</v>
      </c>
      <c r="E16" s="10" t="s">
        <v>212</v>
      </c>
      <c r="F16" s="10" t="s">
        <v>297</v>
      </c>
      <c r="G16" s="5" t="s">
        <v>251</v>
      </c>
      <c r="H16" s="5" t="s">
        <v>190</v>
      </c>
      <c r="I16" s="5" t="s">
        <v>215</v>
      </c>
      <c r="J16" s="10" t="s">
        <v>298</v>
      </c>
      <c r="K16" s="5" t="s">
        <v>193</v>
      </c>
      <c r="L16" s="10" t="s">
        <v>194</v>
      </c>
      <c r="M16" s="5" t="s">
        <v>195</v>
      </c>
      <c r="N16" s="10" t="s">
        <v>64</v>
      </c>
      <c r="O16" s="10"/>
      <c r="P16" s="19" t="n">
        <v>46220</v>
      </c>
      <c r="Q16" s="19" t="n">
        <v>46221</v>
      </c>
      <c r="R16" s="10" t="s">
        <v>299</v>
      </c>
      <c r="S16" s="10" t="s">
        <v>300</v>
      </c>
      <c r="T16" s="10" t="s">
        <v>198</v>
      </c>
      <c r="U16" s="10"/>
      <c r="V16" s="19"/>
      <c r="W16" s="10" t="s">
        <v>301</v>
      </c>
    </row>
    <row r="17" customFormat="false" ht="15" hidden="false" customHeight="false" outlineLevel="0" collapsed="false">
      <c r="A17" s="18"/>
      <c r="B17" s="5"/>
      <c r="C17" s="10"/>
      <c r="D17" s="10"/>
      <c r="E17" s="10"/>
      <c r="F17" s="10"/>
      <c r="G17" s="5"/>
      <c r="H17" s="5"/>
      <c r="I17" s="5"/>
      <c r="J17" s="10"/>
      <c r="K17" s="5"/>
      <c r="L17" s="10"/>
      <c r="M17" s="5"/>
      <c r="N17" s="10"/>
      <c r="O17" s="10"/>
      <c r="P17" s="19"/>
      <c r="Q17" s="19"/>
      <c r="R17" s="10"/>
      <c r="S17" s="10"/>
      <c r="T17" s="10"/>
      <c r="U17" s="10"/>
      <c r="V17" s="19"/>
      <c r="W17" s="10"/>
    </row>
    <row r="18" customFormat="false" ht="15" hidden="false" customHeight="false" outlineLevel="0" collapsed="false">
      <c r="A18" s="18"/>
      <c r="B18" s="5"/>
      <c r="C18" s="10"/>
      <c r="D18" s="10"/>
      <c r="E18" s="10"/>
      <c r="F18" s="10"/>
      <c r="G18" s="5"/>
      <c r="H18" s="5"/>
      <c r="I18" s="5"/>
      <c r="J18" s="10"/>
      <c r="K18" s="5"/>
      <c r="L18" s="10"/>
      <c r="M18" s="5"/>
      <c r="N18" s="10"/>
      <c r="O18" s="10"/>
      <c r="P18" s="19"/>
      <c r="Q18" s="19"/>
      <c r="R18" s="10"/>
      <c r="S18" s="10"/>
      <c r="T18" s="10"/>
      <c r="U18" s="10"/>
      <c r="V18" s="19"/>
      <c r="W18" s="10"/>
    </row>
    <row r="19" customFormat="false" ht="15" hidden="false" customHeight="false" outlineLevel="0" collapsed="false">
      <c r="A19" s="18"/>
      <c r="B19" s="5"/>
      <c r="C19" s="10"/>
      <c r="D19" s="10"/>
      <c r="E19" s="10"/>
      <c r="F19" s="10"/>
      <c r="G19" s="5"/>
      <c r="H19" s="5"/>
      <c r="I19" s="5"/>
      <c r="J19" s="10"/>
      <c r="K19" s="5"/>
      <c r="L19" s="10"/>
      <c r="M19" s="5"/>
      <c r="N19" s="10"/>
      <c r="O19" s="10"/>
      <c r="P19" s="19"/>
      <c r="Q19" s="19"/>
      <c r="R19" s="10"/>
      <c r="S19" s="10"/>
      <c r="T19" s="10"/>
      <c r="U19" s="10"/>
      <c r="V19" s="19"/>
      <c r="W19" s="10"/>
    </row>
    <row r="20" customFormat="false" ht="15" hidden="false" customHeight="false" outlineLevel="0" collapsed="false">
      <c r="A20" s="18"/>
      <c r="B20" s="5"/>
      <c r="C20" s="10"/>
      <c r="D20" s="10"/>
      <c r="E20" s="10"/>
      <c r="F20" s="10"/>
      <c r="G20" s="5"/>
      <c r="H20" s="5"/>
      <c r="I20" s="5"/>
      <c r="J20" s="10"/>
      <c r="K20" s="5"/>
      <c r="L20" s="10"/>
      <c r="M20" s="5"/>
      <c r="N20" s="10"/>
      <c r="O20" s="10"/>
      <c r="P20" s="19"/>
      <c r="Q20" s="19"/>
      <c r="R20" s="10"/>
      <c r="S20" s="10"/>
      <c r="T20" s="10"/>
      <c r="U20" s="10"/>
      <c r="V20" s="19"/>
      <c r="W20" s="10"/>
    </row>
    <row r="21" customFormat="false" ht="15" hidden="false" customHeight="false" outlineLevel="0" collapsed="false">
      <c r="A21" s="18"/>
      <c r="B21" s="5"/>
      <c r="C21" s="10"/>
      <c r="D21" s="10"/>
      <c r="E21" s="10"/>
      <c r="F21" s="10"/>
      <c r="G21" s="5"/>
      <c r="H21" s="5"/>
      <c r="I21" s="5"/>
      <c r="J21" s="10"/>
      <c r="K21" s="5"/>
      <c r="L21" s="10"/>
      <c r="M21" s="5"/>
      <c r="N21" s="10"/>
      <c r="O21" s="10"/>
      <c r="P21" s="19"/>
      <c r="Q21" s="19"/>
      <c r="R21" s="10"/>
      <c r="S21" s="10"/>
      <c r="T21" s="10"/>
      <c r="U21" s="10"/>
      <c r="V21" s="19"/>
      <c r="W21" s="10"/>
    </row>
    <row r="22" customFormat="false" ht="15" hidden="false" customHeight="false" outlineLevel="0" collapsed="false">
      <c r="A22" s="18"/>
      <c r="B22" s="5"/>
      <c r="C22" s="10"/>
      <c r="D22" s="10"/>
      <c r="E22" s="10"/>
      <c r="F22" s="10"/>
      <c r="G22" s="5"/>
      <c r="H22" s="5"/>
      <c r="I22" s="5"/>
      <c r="J22" s="10"/>
      <c r="K22" s="5"/>
      <c r="L22" s="10"/>
      <c r="M22" s="5"/>
      <c r="N22" s="10"/>
      <c r="O22" s="10"/>
      <c r="P22" s="19"/>
      <c r="Q22" s="19"/>
      <c r="R22" s="10"/>
      <c r="S22" s="10"/>
      <c r="T22" s="10"/>
      <c r="U22" s="10"/>
      <c r="V22" s="19"/>
      <c r="W22" s="10"/>
    </row>
    <row r="23" customFormat="false" ht="15" hidden="false" customHeight="false" outlineLevel="0" collapsed="false">
      <c r="A23" s="18"/>
      <c r="B23" s="5"/>
      <c r="C23" s="10"/>
      <c r="D23" s="10"/>
      <c r="E23" s="10"/>
      <c r="F23" s="10"/>
      <c r="G23" s="5"/>
      <c r="H23" s="5"/>
      <c r="I23" s="5"/>
      <c r="J23" s="10"/>
      <c r="K23" s="5"/>
      <c r="L23" s="10"/>
      <c r="M23" s="5"/>
      <c r="N23" s="10"/>
      <c r="O23" s="10"/>
      <c r="P23" s="19"/>
      <c r="Q23" s="19"/>
      <c r="R23" s="10"/>
      <c r="S23" s="10"/>
      <c r="T23" s="10"/>
      <c r="U23" s="10"/>
      <c r="V23" s="19"/>
      <c r="W23" s="10"/>
    </row>
    <row r="24" customFormat="false" ht="15" hidden="false" customHeight="false" outlineLevel="0" collapsed="false">
      <c r="A24" s="18"/>
      <c r="B24" s="5"/>
      <c r="C24" s="10"/>
      <c r="D24" s="10"/>
      <c r="E24" s="10"/>
      <c r="F24" s="10"/>
      <c r="G24" s="5"/>
      <c r="H24" s="5"/>
      <c r="I24" s="5"/>
      <c r="J24" s="10"/>
      <c r="K24" s="5"/>
      <c r="L24" s="10"/>
      <c r="M24" s="5"/>
      <c r="N24" s="10"/>
      <c r="O24" s="10"/>
      <c r="P24" s="19"/>
      <c r="Q24" s="19"/>
      <c r="R24" s="10"/>
      <c r="S24" s="10"/>
      <c r="T24" s="10"/>
      <c r="U24" s="10"/>
      <c r="V24" s="19"/>
      <c r="W24" s="10"/>
    </row>
    <row r="25" customFormat="false" ht="15" hidden="false" customHeight="false" outlineLevel="0" collapsed="false">
      <c r="A25" s="18"/>
      <c r="B25" s="5"/>
      <c r="C25" s="10"/>
      <c r="D25" s="10"/>
      <c r="E25" s="10"/>
      <c r="F25" s="10"/>
      <c r="G25" s="5"/>
      <c r="H25" s="5"/>
      <c r="I25" s="5"/>
      <c r="J25" s="10"/>
      <c r="K25" s="5"/>
      <c r="L25" s="10"/>
      <c r="M25" s="5"/>
      <c r="N25" s="10"/>
      <c r="O25" s="10"/>
      <c r="P25" s="19"/>
      <c r="Q25" s="19"/>
      <c r="R25" s="10"/>
      <c r="S25" s="10"/>
      <c r="T25" s="10"/>
      <c r="U25" s="10"/>
      <c r="V25" s="19"/>
      <c r="W25" s="10"/>
    </row>
    <row r="26" customFormat="false" ht="15" hidden="false" customHeight="false" outlineLevel="0" collapsed="false">
      <c r="A26" s="18"/>
      <c r="B26" s="5"/>
      <c r="C26" s="10"/>
      <c r="D26" s="10"/>
      <c r="E26" s="10"/>
      <c r="F26" s="10"/>
      <c r="G26" s="5"/>
      <c r="H26" s="5"/>
      <c r="I26" s="5"/>
      <c r="J26" s="10"/>
      <c r="K26" s="5"/>
      <c r="L26" s="10"/>
      <c r="M26" s="5"/>
      <c r="N26" s="10"/>
      <c r="O26" s="10"/>
      <c r="P26" s="19"/>
      <c r="Q26" s="19"/>
      <c r="R26" s="10"/>
      <c r="S26" s="10"/>
      <c r="T26" s="10"/>
      <c r="U26" s="10"/>
      <c r="V26" s="19"/>
      <c r="W26" s="10"/>
    </row>
    <row r="27" customFormat="false" ht="15" hidden="false" customHeight="false" outlineLevel="0" collapsed="false">
      <c r="A27" s="18"/>
      <c r="B27" s="5"/>
      <c r="C27" s="10"/>
      <c r="D27" s="10"/>
      <c r="E27" s="10"/>
      <c r="F27" s="10"/>
      <c r="G27" s="5"/>
      <c r="H27" s="5"/>
      <c r="I27" s="5"/>
      <c r="J27" s="10"/>
      <c r="K27" s="5"/>
      <c r="L27" s="10"/>
      <c r="M27" s="5"/>
      <c r="N27" s="10"/>
      <c r="O27" s="10"/>
      <c r="P27" s="19"/>
      <c r="Q27" s="19"/>
      <c r="R27" s="10"/>
      <c r="S27" s="10"/>
      <c r="T27" s="10"/>
      <c r="U27" s="10"/>
      <c r="V27" s="19"/>
      <c r="W27" s="10"/>
    </row>
    <row r="28" customFormat="false" ht="15" hidden="false" customHeight="false" outlineLevel="0" collapsed="false">
      <c r="A28" s="18"/>
      <c r="B28" s="5"/>
      <c r="C28" s="10"/>
      <c r="D28" s="10"/>
      <c r="E28" s="10"/>
      <c r="F28" s="10"/>
      <c r="G28" s="5"/>
      <c r="H28" s="5"/>
      <c r="I28" s="5"/>
      <c r="J28" s="10"/>
      <c r="K28" s="5"/>
      <c r="L28" s="10"/>
      <c r="M28" s="5"/>
      <c r="N28" s="10"/>
      <c r="O28" s="10"/>
      <c r="P28" s="19"/>
      <c r="Q28" s="19"/>
      <c r="R28" s="10"/>
      <c r="S28" s="10"/>
      <c r="T28" s="10"/>
      <c r="U28" s="10"/>
      <c r="V28" s="19"/>
      <c r="W28" s="10"/>
    </row>
    <row r="29" customFormat="false" ht="15" hidden="false" customHeight="false" outlineLevel="0" collapsed="false">
      <c r="A29" s="18"/>
      <c r="B29" s="5"/>
      <c r="C29" s="10"/>
      <c r="D29" s="10"/>
      <c r="E29" s="10"/>
      <c r="F29" s="10"/>
      <c r="G29" s="5"/>
      <c r="H29" s="5"/>
      <c r="I29" s="5"/>
      <c r="J29" s="10"/>
      <c r="K29" s="5"/>
      <c r="L29" s="10"/>
      <c r="M29" s="5"/>
      <c r="N29" s="10"/>
      <c r="O29" s="10"/>
      <c r="P29" s="19"/>
      <c r="Q29" s="19"/>
      <c r="R29" s="10"/>
      <c r="S29" s="10"/>
      <c r="T29" s="10"/>
      <c r="U29" s="10"/>
      <c r="V29" s="19"/>
      <c r="W29" s="10"/>
    </row>
    <row r="30" customFormat="false" ht="15" hidden="false" customHeight="false" outlineLevel="0" collapsed="false">
      <c r="A30" s="18"/>
      <c r="B30" s="5"/>
      <c r="C30" s="10"/>
      <c r="D30" s="10"/>
      <c r="E30" s="10"/>
      <c r="F30" s="10"/>
      <c r="G30" s="5"/>
      <c r="H30" s="5"/>
      <c r="I30" s="5"/>
      <c r="J30" s="10"/>
      <c r="K30" s="5"/>
      <c r="L30" s="10"/>
      <c r="M30" s="5"/>
      <c r="N30" s="10"/>
      <c r="O30" s="10"/>
      <c r="P30" s="19"/>
      <c r="Q30" s="19"/>
      <c r="R30" s="10"/>
      <c r="S30" s="10"/>
      <c r="T30" s="10"/>
      <c r="U30" s="10"/>
      <c r="V30" s="19"/>
      <c r="W30" s="10"/>
    </row>
    <row r="31" customFormat="false" ht="15" hidden="false" customHeight="false" outlineLevel="0" collapsed="false">
      <c r="A31" s="18"/>
      <c r="B31" s="5"/>
      <c r="C31" s="10"/>
      <c r="D31" s="10"/>
      <c r="E31" s="10"/>
      <c r="F31" s="10"/>
      <c r="G31" s="5"/>
      <c r="H31" s="5"/>
      <c r="I31" s="5"/>
      <c r="J31" s="10"/>
      <c r="K31" s="5"/>
      <c r="L31" s="10"/>
      <c r="M31" s="5"/>
      <c r="N31" s="10"/>
      <c r="O31" s="10"/>
      <c r="P31" s="19"/>
      <c r="Q31" s="19"/>
      <c r="R31" s="10"/>
      <c r="S31" s="10"/>
      <c r="T31" s="10"/>
      <c r="U31" s="10"/>
      <c r="V31" s="19"/>
      <c r="W31" s="10"/>
    </row>
    <row r="32" customFormat="false" ht="15" hidden="false" customHeight="false" outlineLevel="0" collapsed="false">
      <c r="A32" s="18"/>
      <c r="B32" s="5"/>
      <c r="C32" s="10"/>
      <c r="D32" s="10"/>
      <c r="E32" s="10"/>
      <c r="F32" s="10"/>
      <c r="G32" s="5"/>
      <c r="H32" s="5"/>
      <c r="I32" s="5"/>
      <c r="J32" s="10"/>
      <c r="K32" s="5"/>
      <c r="L32" s="10"/>
      <c r="M32" s="5"/>
      <c r="N32" s="10"/>
      <c r="O32" s="10"/>
      <c r="P32" s="19"/>
      <c r="Q32" s="19"/>
      <c r="R32" s="10"/>
      <c r="S32" s="10"/>
      <c r="T32" s="10"/>
      <c r="U32" s="10"/>
      <c r="V32" s="19"/>
      <c r="W32" s="10"/>
    </row>
    <row r="33" customFormat="false" ht="15" hidden="false" customHeight="false" outlineLevel="0" collapsed="false">
      <c r="A33" s="18"/>
      <c r="B33" s="5"/>
      <c r="C33" s="10"/>
      <c r="D33" s="10"/>
      <c r="E33" s="10"/>
      <c r="F33" s="10"/>
      <c r="G33" s="5"/>
      <c r="H33" s="5"/>
      <c r="I33" s="5"/>
      <c r="J33" s="10"/>
      <c r="K33" s="5"/>
      <c r="L33" s="10"/>
      <c r="M33" s="5"/>
      <c r="N33" s="10"/>
      <c r="O33" s="10"/>
      <c r="P33" s="19"/>
      <c r="Q33" s="19"/>
      <c r="R33" s="10"/>
      <c r="S33" s="10"/>
      <c r="T33" s="10"/>
      <c r="U33" s="10"/>
      <c r="V33" s="19"/>
      <c r="W33" s="10"/>
    </row>
    <row r="34" customFormat="false" ht="15" hidden="false" customHeight="false" outlineLevel="0" collapsed="false">
      <c r="A34" s="18"/>
      <c r="B34" s="5"/>
      <c r="C34" s="10"/>
      <c r="D34" s="10"/>
      <c r="E34" s="10"/>
      <c r="F34" s="10"/>
      <c r="G34" s="5"/>
      <c r="H34" s="5"/>
      <c r="I34" s="5"/>
      <c r="J34" s="10"/>
      <c r="K34" s="5"/>
      <c r="L34" s="10"/>
      <c r="M34" s="5"/>
      <c r="N34" s="10"/>
      <c r="O34" s="10"/>
      <c r="P34" s="19"/>
      <c r="Q34" s="19"/>
      <c r="R34" s="10"/>
      <c r="S34" s="10"/>
      <c r="T34" s="10"/>
      <c r="U34" s="10"/>
      <c r="V34" s="19"/>
      <c r="W34" s="10"/>
    </row>
    <row r="35" customFormat="false" ht="15" hidden="false" customHeight="false" outlineLevel="0" collapsed="false">
      <c r="A35" s="18"/>
      <c r="B35" s="5"/>
      <c r="C35" s="10"/>
      <c r="D35" s="10"/>
      <c r="E35" s="10"/>
      <c r="F35" s="10"/>
      <c r="G35" s="5"/>
      <c r="H35" s="5"/>
      <c r="I35" s="5"/>
      <c r="J35" s="10"/>
      <c r="K35" s="5"/>
      <c r="L35" s="10"/>
      <c r="M35" s="5"/>
      <c r="N35" s="10"/>
      <c r="O35" s="10"/>
      <c r="P35" s="19"/>
      <c r="Q35" s="19"/>
      <c r="R35" s="10"/>
      <c r="S35" s="10"/>
      <c r="T35" s="10"/>
      <c r="U35" s="10"/>
      <c r="V35" s="19"/>
      <c r="W35" s="10"/>
    </row>
    <row r="36" customFormat="false" ht="15" hidden="false" customHeight="false" outlineLevel="0" collapsed="false">
      <c r="A36" s="18"/>
      <c r="B36" s="5"/>
      <c r="C36" s="10"/>
      <c r="D36" s="10"/>
      <c r="E36" s="10"/>
      <c r="F36" s="10"/>
      <c r="G36" s="5"/>
      <c r="H36" s="5"/>
      <c r="I36" s="5"/>
      <c r="J36" s="10"/>
      <c r="K36" s="5"/>
      <c r="L36" s="10"/>
      <c r="M36" s="5"/>
      <c r="N36" s="10"/>
      <c r="O36" s="10"/>
      <c r="P36" s="19"/>
      <c r="Q36" s="19"/>
      <c r="R36" s="10"/>
      <c r="S36" s="10"/>
      <c r="T36" s="10"/>
      <c r="U36" s="10"/>
      <c r="V36" s="19"/>
      <c r="W36" s="10"/>
    </row>
    <row r="37" customFormat="false" ht="15" hidden="false" customHeight="false" outlineLevel="0" collapsed="false">
      <c r="A37" s="18"/>
      <c r="B37" s="5"/>
      <c r="C37" s="10"/>
      <c r="D37" s="10"/>
      <c r="E37" s="10"/>
      <c r="F37" s="10"/>
      <c r="G37" s="5"/>
      <c r="H37" s="5"/>
      <c r="I37" s="5"/>
      <c r="J37" s="10"/>
      <c r="K37" s="5"/>
      <c r="L37" s="10"/>
      <c r="M37" s="5"/>
      <c r="N37" s="10"/>
      <c r="O37" s="10"/>
      <c r="P37" s="19"/>
      <c r="Q37" s="19"/>
      <c r="R37" s="10"/>
      <c r="S37" s="10"/>
      <c r="T37" s="10"/>
      <c r="U37" s="10"/>
      <c r="V37" s="19"/>
      <c r="W37" s="10"/>
    </row>
    <row r="38" customFormat="false" ht="15" hidden="false" customHeight="false" outlineLevel="0" collapsed="false">
      <c r="A38" s="18"/>
      <c r="B38" s="5"/>
      <c r="C38" s="10"/>
      <c r="D38" s="10"/>
      <c r="E38" s="10"/>
      <c r="F38" s="10"/>
      <c r="G38" s="5"/>
      <c r="H38" s="5"/>
      <c r="I38" s="5"/>
      <c r="J38" s="10"/>
      <c r="K38" s="5"/>
      <c r="L38" s="10"/>
      <c r="M38" s="5"/>
      <c r="N38" s="10"/>
      <c r="O38" s="10"/>
      <c r="P38" s="19"/>
      <c r="Q38" s="19"/>
      <c r="R38" s="10"/>
      <c r="S38" s="10"/>
      <c r="T38" s="10"/>
      <c r="U38" s="10"/>
      <c r="V38" s="19"/>
      <c r="W38" s="10"/>
    </row>
    <row r="39" customFormat="false" ht="15" hidden="false" customHeight="false" outlineLevel="0" collapsed="false">
      <c r="A39" s="18"/>
      <c r="B39" s="5"/>
      <c r="C39" s="10"/>
      <c r="D39" s="10"/>
      <c r="E39" s="10"/>
      <c r="F39" s="10"/>
      <c r="G39" s="5"/>
      <c r="H39" s="5"/>
      <c r="I39" s="5"/>
      <c r="J39" s="10"/>
      <c r="K39" s="5"/>
      <c r="L39" s="10"/>
      <c r="M39" s="5"/>
      <c r="N39" s="10"/>
      <c r="O39" s="10"/>
      <c r="P39" s="19"/>
      <c r="Q39" s="19"/>
      <c r="R39" s="10"/>
      <c r="S39" s="10"/>
      <c r="T39" s="10"/>
      <c r="U39" s="10"/>
      <c r="V39" s="19"/>
      <c r="W39" s="10"/>
    </row>
    <row r="40" customFormat="false" ht="15" hidden="false" customHeight="false" outlineLevel="0" collapsed="false">
      <c r="A40" s="18"/>
      <c r="B40" s="5"/>
      <c r="C40" s="10"/>
      <c r="D40" s="10"/>
      <c r="E40" s="10"/>
      <c r="F40" s="10"/>
      <c r="G40" s="5"/>
      <c r="H40" s="5"/>
      <c r="I40" s="5"/>
      <c r="J40" s="10"/>
      <c r="K40" s="5"/>
      <c r="L40" s="10"/>
      <c r="M40" s="5"/>
      <c r="N40" s="10"/>
      <c r="O40" s="10"/>
      <c r="P40" s="19"/>
      <c r="Q40" s="19"/>
      <c r="R40" s="10"/>
      <c r="S40" s="10"/>
      <c r="T40" s="10"/>
      <c r="U40" s="10"/>
      <c r="V40" s="19"/>
      <c r="W40" s="10"/>
    </row>
    <row r="41" customFormat="false" ht="15" hidden="false" customHeight="false" outlineLevel="0" collapsed="false">
      <c r="A41" s="18"/>
      <c r="B41" s="5"/>
      <c r="C41" s="10"/>
      <c r="D41" s="10"/>
      <c r="E41" s="10"/>
      <c r="F41" s="10"/>
      <c r="G41" s="5"/>
      <c r="H41" s="5"/>
      <c r="I41" s="5"/>
      <c r="J41" s="10"/>
      <c r="K41" s="5"/>
      <c r="L41" s="10"/>
      <c r="M41" s="5"/>
      <c r="N41" s="10"/>
      <c r="O41" s="10"/>
      <c r="P41" s="19"/>
      <c r="Q41" s="19"/>
      <c r="R41" s="10"/>
      <c r="S41" s="10"/>
      <c r="T41" s="10"/>
      <c r="U41" s="10"/>
      <c r="V41" s="19"/>
      <c r="W41" s="10"/>
    </row>
    <row r="42" customFormat="false" ht="15" hidden="false" customHeight="false" outlineLevel="0" collapsed="false">
      <c r="A42" s="18"/>
      <c r="B42" s="5"/>
      <c r="C42" s="10"/>
      <c r="D42" s="10"/>
      <c r="E42" s="10"/>
      <c r="F42" s="10"/>
      <c r="G42" s="5"/>
      <c r="H42" s="5"/>
      <c r="I42" s="5"/>
      <c r="J42" s="10"/>
      <c r="K42" s="5"/>
      <c r="L42" s="10"/>
      <c r="M42" s="5"/>
      <c r="N42" s="10"/>
      <c r="O42" s="10"/>
      <c r="P42" s="19"/>
      <c r="Q42" s="19"/>
      <c r="R42" s="10"/>
      <c r="S42" s="10"/>
      <c r="T42" s="10"/>
      <c r="U42" s="10"/>
      <c r="V42" s="19"/>
      <c r="W42" s="10"/>
    </row>
    <row r="43" customFormat="false" ht="15" hidden="false" customHeight="false" outlineLevel="0" collapsed="false">
      <c r="A43" s="18"/>
      <c r="B43" s="5"/>
      <c r="C43" s="10"/>
      <c r="D43" s="10"/>
      <c r="E43" s="10"/>
      <c r="F43" s="10"/>
      <c r="G43" s="5"/>
      <c r="H43" s="5"/>
      <c r="I43" s="5"/>
      <c r="J43" s="10"/>
      <c r="K43" s="5"/>
      <c r="L43" s="10"/>
      <c r="M43" s="5"/>
      <c r="N43" s="10"/>
      <c r="O43" s="10"/>
      <c r="P43" s="19"/>
      <c r="Q43" s="19"/>
      <c r="R43" s="10"/>
      <c r="S43" s="10"/>
      <c r="T43" s="10"/>
      <c r="U43" s="10"/>
      <c r="V43" s="19"/>
      <c r="W43" s="10"/>
    </row>
    <row r="44" customFormat="false" ht="15" hidden="false" customHeight="false" outlineLevel="0" collapsed="false">
      <c r="A44" s="18"/>
      <c r="B44" s="5"/>
      <c r="C44" s="10"/>
      <c r="D44" s="10"/>
      <c r="E44" s="10"/>
      <c r="F44" s="10"/>
      <c r="G44" s="5"/>
      <c r="H44" s="5"/>
      <c r="I44" s="5"/>
      <c r="J44" s="10"/>
      <c r="K44" s="5"/>
      <c r="L44" s="10"/>
      <c r="M44" s="5"/>
      <c r="N44" s="10"/>
      <c r="O44" s="10"/>
      <c r="P44" s="19"/>
      <c r="Q44" s="19"/>
      <c r="R44" s="10"/>
      <c r="S44" s="10"/>
      <c r="T44" s="10"/>
      <c r="U44" s="10"/>
      <c r="V44" s="19"/>
      <c r="W44" s="10"/>
    </row>
    <row r="45" customFormat="false" ht="15" hidden="false" customHeight="false" outlineLevel="0" collapsed="false">
      <c r="A45" s="18"/>
      <c r="B45" s="5"/>
      <c r="C45" s="10"/>
      <c r="D45" s="10"/>
      <c r="E45" s="10"/>
      <c r="F45" s="10"/>
      <c r="G45" s="5"/>
      <c r="H45" s="5"/>
      <c r="I45" s="5"/>
      <c r="J45" s="10"/>
      <c r="K45" s="5"/>
      <c r="L45" s="10"/>
      <c r="M45" s="5"/>
      <c r="N45" s="10"/>
      <c r="O45" s="10"/>
      <c r="P45" s="19"/>
      <c r="Q45" s="19"/>
      <c r="R45" s="10"/>
      <c r="S45" s="10"/>
      <c r="T45" s="10"/>
      <c r="U45" s="10"/>
      <c r="V45" s="19"/>
      <c r="W45" s="10"/>
    </row>
    <row r="46" customFormat="false" ht="15" hidden="false" customHeight="false" outlineLevel="0" collapsed="false">
      <c r="A46" s="18"/>
      <c r="B46" s="5"/>
      <c r="C46" s="10"/>
      <c r="D46" s="10"/>
      <c r="E46" s="10"/>
      <c r="F46" s="10"/>
      <c r="G46" s="5"/>
      <c r="H46" s="5"/>
      <c r="I46" s="5"/>
      <c r="J46" s="10"/>
      <c r="K46" s="5"/>
      <c r="L46" s="10"/>
      <c r="M46" s="5"/>
      <c r="N46" s="10"/>
      <c r="O46" s="10"/>
      <c r="P46" s="19"/>
      <c r="Q46" s="19"/>
      <c r="R46" s="10"/>
      <c r="S46" s="10"/>
      <c r="T46" s="10"/>
      <c r="U46" s="10"/>
      <c r="V46" s="19"/>
      <c r="W46" s="10"/>
    </row>
    <row r="47" customFormat="false" ht="15" hidden="false" customHeight="false" outlineLevel="0" collapsed="false">
      <c r="A47" s="18"/>
      <c r="B47" s="5"/>
      <c r="C47" s="10"/>
      <c r="D47" s="10"/>
      <c r="E47" s="10"/>
      <c r="F47" s="10"/>
      <c r="G47" s="5"/>
      <c r="H47" s="5"/>
      <c r="I47" s="5"/>
      <c r="J47" s="10"/>
      <c r="K47" s="5"/>
      <c r="L47" s="10"/>
      <c r="M47" s="5"/>
      <c r="N47" s="10"/>
      <c r="O47" s="10"/>
      <c r="P47" s="19"/>
      <c r="Q47" s="19"/>
      <c r="R47" s="10"/>
      <c r="S47" s="10"/>
      <c r="T47" s="10"/>
      <c r="U47" s="10"/>
      <c r="V47" s="19"/>
      <c r="W47" s="10"/>
    </row>
    <row r="48" customFormat="false" ht="15" hidden="false" customHeight="false" outlineLevel="0" collapsed="false">
      <c r="A48" s="18"/>
      <c r="B48" s="5"/>
      <c r="C48" s="10"/>
      <c r="D48" s="10"/>
      <c r="E48" s="10"/>
      <c r="F48" s="10"/>
      <c r="G48" s="5"/>
      <c r="H48" s="5"/>
      <c r="I48" s="5"/>
      <c r="J48" s="10"/>
      <c r="K48" s="5"/>
      <c r="L48" s="10"/>
      <c r="M48" s="5"/>
      <c r="N48" s="10"/>
      <c r="O48" s="10"/>
      <c r="P48" s="19"/>
      <c r="Q48" s="19"/>
      <c r="R48" s="10"/>
      <c r="S48" s="10"/>
      <c r="T48" s="10"/>
      <c r="U48" s="10"/>
      <c r="V48" s="19"/>
      <c r="W48" s="10"/>
    </row>
    <row r="49" customFormat="false" ht="15" hidden="false" customHeight="false" outlineLevel="0" collapsed="false">
      <c r="A49" s="18"/>
      <c r="B49" s="5"/>
      <c r="C49" s="10"/>
      <c r="D49" s="10"/>
      <c r="E49" s="10"/>
      <c r="F49" s="10"/>
      <c r="G49" s="5"/>
      <c r="H49" s="5"/>
      <c r="I49" s="5"/>
      <c r="J49" s="10"/>
      <c r="K49" s="5"/>
      <c r="L49" s="10"/>
      <c r="M49" s="5"/>
      <c r="N49" s="10"/>
      <c r="O49" s="10"/>
      <c r="P49" s="19"/>
      <c r="Q49" s="19"/>
      <c r="R49" s="10"/>
      <c r="S49" s="10"/>
      <c r="T49" s="10"/>
      <c r="U49" s="10"/>
      <c r="V49" s="19"/>
      <c r="W49" s="10"/>
    </row>
    <row r="50" customFormat="false" ht="15" hidden="false" customHeight="false" outlineLevel="0" collapsed="false">
      <c r="A50" s="18"/>
      <c r="B50" s="5"/>
      <c r="C50" s="10"/>
      <c r="D50" s="10"/>
      <c r="E50" s="10"/>
      <c r="F50" s="10"/>
      <c r="G50" s="5"/>
      <c r="H50" s="5"/>
      <c r="I50" s="5"/>
      <c r="J50" s="10"/>
      <c r="K50" s="5"/>
      <c r="L50" s="10"/>
      <c r="M50" s="5"/>
      <c r="N50" s="10"/>
      <c r="O50" s="10"/>
      <c r="P50" s="19"/>
      <c r="Q50" s="19"/>
      <c r="R50" s="10"/>
      <c r="S50" s="10"/>
      <c r="T50" s="10"/>
      <c r="U50" s="10"/>
      <c r="V50" s="19"/>
      <c r="W50" s="10"/>
    </row>
    <row r="51" customFormat="false" ht="15" hidden="false" customHeight="false" outlineLevel="0" collapsed="false">
      <c r="A51" s="18"/>
      <c r="B51" s="5"/>
      <c r="C51" s="10"/>
      <c r="D51" s="10"/>
      <c r="E51" s="10"/>
      <c r="F51" s="10"/>
      <c r="G51" s="5"/>
      <c r="H51" s="5"/>
      <c r="I51" s="5"/>
      <c r="J51" s="10"/>
      <c r="K51" s="5"/>
      <c r="L51" s="10"/>
      <c r="M51" s="5"/>
      <c r="N51" s="10"/>
      <c r="O51" s="10"/>
      <c r="P51" s="19"/>
      <c r="Q51" s="19"/>
      <c r="R51" s="10"/>
      <c r="S51" s="10"/>
      <c r="T51" s="10"/>
      <c r="U51" s="10"/>
      <c r="V51" s="19"/>
      <c r="W51" s="10"/>
    </row>
    <row r="52" customFormat="false" ht="15" hidden="false" customHeight="false" outlineLevel="0" collapsed="false">
      <c r="A52" s="18"/>
      <c r="B52" s="5"/>
      <c r="C52" s="10"/>
      <c r="D52" s="10"/>
      <c r="E52" s="10"/>
      <c r="F52" s="10"/>
      <c r="G52" s="5"/>
      <c r="H52" s="5"/>
      <c r="I52" s="5"/>
      <c r="J52" s="10"/>
      <c r="K52" s="5"/>
      <c r="L52" s="10"/>
      <c r="M52" s="5"/>
      <c r="N52" s="10"/>
      <c r="O52" s="10"/>
      <c r="P52" s="19"/>
      <c r="Q52" s="19"/>
      <c r="R52" s="10"/>
      <c r="S52" s="10"/>
      <c r="T52" s="10"/>
      <c r="U52" s="10"/>
      <c r="V52" s="19"/>
      <c r="W52" s="10"/>
    </row>
    <row r="53" customFormat="false" ht="15" hidden="false" customHeight="false" outlineLevel="0" collapsed="false">
      <c r="A53" s="18"/>
      <c r="B53" s="5"/>
      <c r="C53" s="10"/>
      <c r="D53" s="10"/>
      <c r="E53" s="10"/>
      <c r="F53" s="10"/>
      <c r="G53" s="5"/>
      <c r="H53" s="5"/>
      <c r="I53" s="5"/>
      <c r="J53" s="10"/>
      <c r="K53" s="5"/>
      <c r="L53" s="10"/>
      <c r="M53" s="5"/>
      <c r="N53" s="10"/>
      <c r="O53" s="10"/>
      <c r="P53" s="19"/>
      <c r="Q53" s="19"/>
      <c r="R53" s="10"/>
      <c r="S53" s="10"/>
      <c r="T53" s="10"/>
      <c r="U53" s="10"/>
      <c r="V53" s="19"/>
      <c r="W53" s="10"/>
    </row>
    <row r="54" customFormat="false" ht="15" hidden="false" customHeight="false" outlineLevel="0" collapsed="false">
      <c r="A54" s="18"/>
      <c r="B54" s="5"/>
      <c r="C54" s="10"/>
      <c r="D54" s="10"/>
      <c r="E54" s="10"/>
      <c r="F54" s="10"/>
      <c r="G54" s="5"/>
      <c r="H54" s="5"/>
      <c r="I54" s="5"/>
      <c r="J54" s="10"/>
      <c r="K54" s="5"/>
      <c r="L54" s="10"/>
      <c r="M54" s="5"/>
      <c r="N54" s="10"/>
      <c r="O54" s="10"/>
      <c r="P54" s="19"/>
      <c r="Q54" s="19"/>
      <c r="R54" s="10"/>
      <c r="S54" s="10"/>
      <c r="T54" s="10"/>
      <c r="U54" s="10"/>
      <c r="V54" s="19"/>
      <c r="W54" s="10"/>
    </row>
    <row r="55" customFormat="false" ht="15" hidden="false" customHeight="false" outlineLevel="0" collapsed="false">
      <c r="A55" s="18"/>
      <c r="B55" s="5"/>
      <c r="C55" s="10"/>
      <c r="D55" s="10"/>
      <c r="E55" s="10"/>
      <c r="F55" s="10"/>
      <c r="G55" s="5"/>
      <c r="H55" s="5"/>
      <c r="I55" s="5"/>
      <c r="J55" s="10"/>
      <c r="K55" s="5"/>
      <c r="L55" s="10"/>
      <c r="M55" s="5"/>
      <c r="N55" s="10"/>
      <c r="O55" s="10"/>
      <c r="P55" s="19"/>
      <c r="Q55" s="19"/>
      <c r="R55" s="10"/>
      <c r="S55" s="10"/>
      <c r="T55" s="10"/>
      <c r="U55" s="10"/>
      <c r="V55" s="19"/>
      <c r="W55" s="10"/>
    </row>
    <row r="56" customFormat="false" ht="15" hidden="false" customHeight="false" outlineLevel="0" collapsed="false">
      <c r="A56" s="18"/>
      <c r="B56" s="5"/>
      <c r="C56" s="10"/>
      <c r="D56" s="10"/>
      <c r="E56" s="10"/>
      <c r="F56" s="10"/>
      <c r="G56" s="5"/>
      <c r="H56" s="5"/>
      <c r="I56" s="5"/>
      <c r="J56" s="10"/>
      <c r="K56" s="5"/>
      <c r="L56" s="10"/>
      <c r="M56" s="5"/>
      <c r="N56" s="10"/>
      <c r="O56" s="10"/>
      <c r="P56" s="19"/>
      <c r="Q56" s="19"/>
      <c r="R56" s="10"/>
      <c r="S56" s="10"/>
      <c r="T56" s="10"/>
      <c r="U56" s="10"/>
      <c r="V56" s="19"/>
      <c r="W56" s="10"/>
    </row>
    <row r="57" customFormat="false" ht="15" hidden="false" customHeight="false" outlineLevel="0" collapsed="false">
      <c r="A57" s="18"/>
      <c r="B57" s="5"/>
      <c r="C57" s="10"/>
      <c r="D57" s="10"/>
      <c r="E57" s="10"/>
      <c r="F57" s="10"/>
      <c r="G57" s="5"/>
      <c r="H57" s="5"/>
      <c r="I57" s="5"/>
      <c r="J57" s="10"/>
      <c r="K57" s="5"/>
      <c r="L57" s="10"/>
      <c r="M57" s="5"/>
      <c r="N57" s="10"/>
      <c r="O57" s="10"/>
      <c r="P57" s="19"/>
      <c r="Q57" s="19"/>
      <c r="R57" s="10"/>
      <c r="S57" s="10"/>
      <c r="T57" s="10"/>
      <c r="U57" s="10"/>
      <c r="V57" s="19"/>
      <c r="W57" s="10"/>
    </row>
    <row r="58" customFormat="false" ht="15" hidden="false" customHeight="false" outlineLevel="0" collapsed="false">
      <c r="A58" s="18"/>
      <c r="B58" s="5"/>
      <c r="C58" s="10"/>
      <c r="D58" s="10"/>
      <c r="E58" s="10"/>
      <c r="F58" s="10"/>
      <c r="G58" s="5"/>
      <c r="H58" s="5"/>
      <c r="I58" s="5"/>
      <c r="J58" s="10"/>
      <c r="K58" s="5"/>
      <c r="L58" s="10"/>
      <c r="M58" s="5"/>
      <c r="N58" s="10"/>
      <c r="O58" s="10"/>
      <c r="P58" s="19"/>
      <c r="Q58" s="19"/>
      <c r="R58" s="10"/>
      <c r="S58" s="10"/>
      <c r="T58" s="10"/>
      <c r="U58" s="10"/>
      <c r="V58" s="19"/>
      <c r="W58" s="10"/>
    </row>
    <row r="59" customFormat="false" ht="15" hidden="false" customHeight="false" outlineLevel="0" collapsed="false">
      <c r="A59" s="18"/>
      <c r="B59" s="5"/>
      <c r="C59" s="10"/>
      <c r="D59" s="10"/>
      <c r="E59" s="10"/>
      <c r="F59" s="10"/>
      <c r="G59" s="5"/>
      <c r="H59" s="5"/>
      <c r="I59" s="5"/>
      <c r="J59" s="10"/>
      <c r="K59" s="5"/>
      <c r="L59" s="10"/>
      <c r="M59" s="5"/>
      <c r="N59" s="10"/>
      <c r="O59" s="10"/>
      <c r="P59" s="19"/>
      <c r="Q59" s="19"/>
      <c r="R59" s="10"/>
      <c r="S59" s="10"/>
      <c r="T59" s="10"/>
      <c r="U59" s="10"/>
      <c r="V59" s="19"/>
      <c r="W59" s="10"/>
    </row>
    <row r="60" customFormat="false" ht="15" hidden="false" customHeight="false" outlineLevel="0" collapsed="false">
      <c r="A60" s="18"/>
      <c r="B60" s="5"/>
      <c r="C60" s="10"/>
      <c r="D60" s="10"/>
      <c r="E60" s="10"/>
      <c r="F60" s="10"/>
      <c r="G60" s="5"/>
      <c r="H60" s="5"/>
      <c r="I60" s="5"/>
      <c r="J60" s="10"/>
      <c r="K60" s="5"/>
      <c r="L60" s="10"/>
      <c r="M60" s="5"/>
      <c r="N60" s="10"/>
      <c r="O60" s="10"/>
      <c r="P60" s="19"/>
      <c r="Q60" s="19"/>
      <c r="R60" s="10"/>
      <c r="S60" s="10"/>
      <c r="T60" s="10"/>
      <c r="U60" s="10"/>
      <c r="V60" s="19"/>
      <c r="W60" s="10"/>
    </row>
    <row r="61" customFormat="false" ht="15" hidden="false" customHeight="false" outlineLevel="0" collapsed="false">
      <c r="A61" s="18"/>
      <c r="B61" s="5"/>
      <c r="C61" s="10"/>
      <c r="D61" s="10"/>
      <c r="E61" s="10"/>
      <c r="F61" s="10"/>
      <c r="G61" s="5"/>
      <c r="H61" s="5"/>
      <c r="I61" s="5"/>
      <c r="J61" s="10"/>
      <c r="K61" s="5"/>
      <c r="L61" s="10"/>
      <c r="M61" s="5"/>
      <c r="N61" s="10"/>
      <c r="O61" s="10"/>
      <c r="P61" s="19"/>
      <c r="Q61" s="19"/>
      <c r="R61" s="10"/>
      <c r="S61" s="10"/>
      <c r="T61" s="10"/>
      <c r="U61" s="10"/>
      <c r="V61" s="19"/>
      <c r="W61" s="10"/>
    </row>
    <row r="62" customFormat="false" ht="15" hidden="false" customHeight="false" outlineLevel="0" collapsed="false">
      <c r="A62" s="18"/>
      <c r="B62" s="5"/>
      <c r="C62" s="10"/>
      <c r="D62" s="10"/>
      <c r="E62" s="10"/>
      <c r="F62" s="10"/>
      <c r="G62" s="5"/>
      <c r="H62" s="5"/>
      <c r="I62" s="5"/>
      <c r="J62" s="10"/>
      <c r="K62" s="5"/>
      <c r="L62" s="10"/>
      <c r="M62" s="5"/>
      <c r="N62" s="10"/>
      <c r="O62" s="10"/>
      <c r="P62" s="19"/>
      <c r="Q62" s="19"/>
      <c r="R62" s="10"/>
      <c r="S62" s="10"/>
      <c r="T62" s="10"/>
      <c r="U62" s="10"/>
      <c r="V62" s="19"/>
      <c r="W62" s="10"/>
    </row>
    <row r="63" customFormat="false" ht="15" hidden="false" customHeight="false" outlineLevel="0" collapsed="false">
      <c r="A63" s="18"/>
      <c r="B63" s="5"/>
      <c r="C63" s="10"/>
      <c r="D63" s="10"/>
      <c r="E63" s="10"/>
      <c r="F63" s="10"/>
      <c r="G63" s="5"/>
      <c r="H63" s="5"/>
      <c r="I63" s="5"/>
      <c r="J63" s="10"/>
      <c r="K63" s="5"/>
      <c r="L63" s="10"/>
      <c r="M63" s="5"/>
      <c r="N63" s="10"/>
      <c r="O63" s="10"/>
      <c r="P63" s="19"/>
      <c r="Q63" s="19"/>
      <c r="R63" s="10"/>
      <c r="S63" s="10"/>
      <c r="T63" s="10"/>
      <c r="U63" s="10"/>
      <c r="V63" s="19"/>
      <c r="W63" s="10"/>
    </row>
    <row r="64" customFormat="false" ht="15" hidden="false" customHeight="false" outlineLevel="0" collapsed="false">
      <c r="A64" s="18"/>
      <c r="B64" s="5"/>
      <c r="C64" s="10"/>
      <c r="D64" s="10"/>
      <c r="E64" s="10"/>
      <c r="F64" s="10"/>
      <c r="G64" s="5"/>
      <c r="H64" s="5"/>
      <c r="I64" s="5"/>
      <c r="J64" s="10"/>
      <c r="K64" s="5"/>
      <c r="L64" s="10"/>
      <c r="M64" s="5"/>
      <c r="N64" s="10"/>
      <c r="O64" s="10"/>
      <c r="P64" s="19"/>
      <c r="Q64" s="19"/>
      <c r="R64" s="10"/>
      <c r="S64" s="10"/>
      <c r="T64" s="10"/>
      <c r="U64" s="10"/>
      <c r="V64" s="19"/>
      <c r="W64" s="10"/>
    </row>
    <row r="65" customFormat="false" ht="15" hidden="false" customHeight="false" outlineLevel="0" collapsed="false">
      <c r="A65" s="18"/>
      <c r="B65" s="5"/>
      <c r="C65" s="10"/>
      <c r="D65" s="10"/>
      <c r="E65" s="10"/>
      <c r="F65" s="10"/>
      <c r="G65" s="5"/>
      <c r="H65" s="5"/>
      <c r="I65" s="5"/>
      <c r="J65" s="10"/>
      <c r="K65" s="5"/>
      <c r="L65" s="10"/>
      <c r="M65" s="5"/>
      <c r="N65" s="10"/>
      <c r="O65" s="10"/>
      <c r="P65" s="19"/>
      <c r="Q65" s="19"/>
      <c r="R65" s="10"/>
      <c r="S65" s="10"/>
      <c r="T65" s="10"/>
      <c r="U65" s="10"/>
      <c r="V65" s="19"/>
      <c r="W65" s="10"/>
    </row>
    <row r="66" customFormat="false" ht="15" hidden="false" customHeight="false" outlineLevel="0" collapsed="false">
      <c r="A66" s="18"/>
      <c r="B66" s="5"/>
      <c r="C66" s="10"/>
      <c r="D66" s="10"/>
      <c r="E66" s="10"/>
      <c r="F66" s="10"/>
      <c r="G66" s="5"/>
      <c r="H66" s="5"/>
      <c r="I66" s="5"/>
      <c r="J66" s="10"/>
      <c r="K66" s="5"/>
      <c r="L66" s="10"/>
      <c r="M66" s="5"/>
      <c r="N66" s="10"/>
      <c r="O66" s="10"/>
      <c r="P66" s="19"/>
      <c r="Q66" s="19"/>
      <c r="R66" s="10"/>
      <c r="S66" s="10"/>
      <c r="T66" s="10"/>
      <c r="U66" s="10"/>
      <c r="V66" s="19"/>
      <c r="W66" s="10"/>
    </row>
    <row r="67" customFormat="false" ht="15" hidden="false" customHeight="false" outlineLevel="0" collapsed="false">
      <c r="A67" s="18"/>
      <c r="B67" s="5"/>
      <c r="C67" s="10"/>
      <c r="D67" s="10"/>
      <c r="E67" s="10"/>
      <c r="F67" s="10"/>
      <c r="G67" s="5"/>
      <c r="H67" s="5"/>
      <c r="I67" s="5"/>
      <c r="J67" s="10"/>
      <c r="K67" s="5"/>
      <c r="L67" s="10"/>
      <c r="M67" s="5"/>
      <c r="N67" s="10"/>
      <c r="O67" s="10"/>
      <c r="P67" s="19"/>
      <c r="Q67" s="19"/>
      <c r="R67" s="10"/>
      <c r="S67" s="10"/>
      <c r="T67" s="10"/>
      <c r="U67" s="10"/>
      <c r="V67" s="19"/>
      <c r="W67" s="10"/>
    </row>
    <row r="68" customFormat="false" ht="15" hidden="false" customHeight="false" outlineLevel="0" collapsed="false">
      <c r="A68" s="18"/>
      <c r="B68" s="5"/>
      <c r="C68" s="10"/>
      <c r="D68" s="10"/>
      <c r="E68" s="10"/>
      <c r="F68" s="10"/>
      <c r="G68" s="5"/>
      <c r="H68" s="5"/>
      <c r="I68" s="5"/>
      <c r="J68" s="10"/>
      <c r="K68" s="5"/>
      <c r="L68" s="10"/>
      <c r="M68" s="5"/>
      <c r="N68" s="10"/>
      <c r="O68" s="10"/>
      <c r="P68" s="19"/>
      <c r="Q68" s="19"/>
      <c r="R68" s="10"/>
      <c r="S68" s="10"/>
      <c r="T68" s="10"/>
      <c r="U68" s="10"/>
      <c r="V68" s="19"/>
      <c r="W68" s="10"/>
    </row>
    <row r="69" customFormat="false" ht="15" hidden="false" customHeight="false" outlineLevel="0" collapsed="false">
      <c r="A69" s="18"/>
      <c r="B69" s="5"/>
      <c r="C69" s="10"/>
      <c r="D69" s="10"/>
      <c r="E69" s="10"/>
      <c r="F69" s="10"/>
      <c r="G69" s="5"/>
      <c r="H69" s="5"/>
      <c r="I69" s="5"/>
      <c r="J69" s="10"/>
      <c r="K69" s="5"/>
      <c r="L69" s="10"/>
      <c r="M69" s="5"/>
      <c r="N69" s="10"/>
      <c r="O69" s="10"/>
      <c r="P69" s="19"/>
      <c r="Q69" s="19"/>
      <c r="R69" s="10"/>
      <c r="S69" s="10"/>
      <c r="T69" s="10"/>
      <c r="U69" s="10"/>
      <c r="V69" s="19"/>
      <c r="W69" s="10"/>
    </row>
    <row r="70" customFormat="false" ht="15" hidden="false" customHeight="false" outlineLevel="0" collapsed="false">
      <c r="A70" s="18"/>
      <c r="B70" s="5"/>
      <c r="C70" s="10"/>
      <c r="D70" s="10"/>
      <c r="E70" s="10"/>
      <c r="F70" s="10"/>
      <c r="G70" s="5"/>
      <c r="H70" s="5"/>
      <c r="I70" s="5"/>
      <c r="J70" s="10"/>
      <c r="K70" s="5"/>
      <c r="L70" s="10"/>
      <c r="M70" s="5"/>
      <c r="N70" s="10"/>
      <c r="O70" s="10"/>
      <c r="P70" s="19"/>
      <c r="Q70" s="19"/>
      <c r="R70" s="10"/>
      <c r="S70" s="10"/>
      <c r="T70" s="10"/>
      <c r="U70" s="10"/>
      <c r="V70" s="19"/>
      <c r="W70" s="10"/>
    </row>
    <row r="71" customFormat="false" ht="15" hidden="false" customHeight="false" outlineLevel="0" collapsed="false">
      <c r="A71" s="18"/>
      <c r="B71" s="5"/>
      <c r="C71" s="10"/>
      <c r="D71" s="10"/>
      <c r="E71" s="10"/>
      <c r="F71" s="10"/>
      <c r="G71" s="5"/>
      <c r="H71" s="5"/>
      <c r="I71" s="5"/>
      <c r="J71" s="10"/>
      <c r="K71" s="5"/>
      <c r="L71" s="10"/>
      <c r="M71" s="5"/>
      <c r="N71" s="10"/>
      <c r="O71" s="10"/>
      <c r="P71" s="19"/>
      <c r="Q71" s="19"/>
      <c r="R71" s="10"/>
      <c r="S71" s="10"/>
      <c r="T71" s="10"/>
      <c r="U71" s="10"/>
      <c r="V71" s="19"/>
      <c r="W71" s="10"/>
    </row>
    <row r="72" customFormat="false" ht="15" hidden="false" customHeight="false" outlineLevel="0" collapsed="false">
      <c r="A72" s="18"/>
      <c r="B72" s="5"/>
      <c r="C72" s="10"/>
      <c r="D72" s="10"/>
      <c r="E72" s="10"/>
      <c r="F72" s="10"/>
      <c r="G72" s="5"/>
      <c r="H72" s="5"/>
      <c r="I72" s="5"/>
      <c r="J72" s="10"/>
      <c r="K72" s="5"/>
      <c r="L72" s="10"/>
      <c r="M72" s="5"/>
      <c r="N72" s="10"/>
      <c r="O72" s="10"/>
      <c r="P72" s="19"/>
      <c r="Q72" s="19"/>
      <c r="R72" s="10"/>
      <c r="S72" s="10"/>
      <c r="T72" s="10"/>
      <c r="U72" s="10"/>
      <c r="V72" s="19"/>
      <c r="W72" s="10"/>
    </row>
    <row r="73" customFormat="false" ht="15" hidden="false" customHeight="false" outlineLevel="0" collapsed="false">
      <c r="A73" s="18"/>
      <c r="B73" s="5"/>
      <c r="C73" s="10"/>
      <c r="D73" s="10"/>
      <c r="E73" s="10"/>
      <c r="F73" s="10"/>
      <c r="G73" s="5"/>
      <c r="H73" s="5"/>
      <c r="I73" s="5"/>
      <c r="J73" s="10"/>
      <c r="K73" s="5"/>
      <c r="L73" s="10"/>
      <c r="M73" s="5"/>
      <c r="N73" s="10"/>
      <c r="O73" s="10"/>
      <c r="P73" s="19"/>
      <c r="Q73" s="19"/>
      <c r="R73" s="10"/>
      <c r="S73" s="10"/>
      <c r="T73" s="10"/>
      <c r="U73" s="10"/>
      <c r="V73" s="19"/>
      <c r="W73" s="10"/>
    </row>
    <row r="74" customFormat="false" ht="15" hidden="false" customHeight="false" outlineLevel="0" collapsed="false">
      <c r="A74" s="18"/>
      <c r="B74" s="5"/>
      <c r="C74" s="10"/>
      <c r="D74" s="10"/>
      <c r="E74" s="10"/>
      <c r="F74" s="10"/>
      <c r="G74" s="5"/>
      <c r="H74" s="5"/>
      <c r="I74" s="5"/>
      <c r="J74" s="10"/>
      <c r="K74" s="5"/>
      <c r="L74" s="10"/>
      <c r="M74" s="5"/>
      <c r="N74" s="10"/>
      <c r="O74" s="10"/>
      <c r="P74" s="19"/>
      <c r="Q74" s="19"/>
      <c r="R74" s="10"/>
      <c r="S74" s="10"/>
      <c r="T74" s="10"/>
      <c r="U74" s="10"/>
      <c r="V74" s="19"/>
      <c r="W74" s="10"/>
    </row>
    <row r="75" customFormat="false" ht="15" hidden="false" customHeight="false" outlineLevel="0" collapsed="false">
      <c r="A75" s="18"/>
      <c r="B75" s="5"/>
      <c r="C75" s="10"/>
      <c r="D75" s="10"/>
      <c r="E75" s="10"/>
      <c r="F75" s="10"/>
      <c r="G75" s="5"/>
      <c r="H75" s="5"/>
      <c r="I75" s="5"/>
      <c r="J75" s="10"/>
      <c r="K75" s="5"/>
      <c r="L75" s="10"/>
      <c r="M75" s="5"/>
      <c r="N75" s="10"/>
      <c r="O75" s="10"/>
      <c r="P75" s="19"/>
      <c r="Q75" s="19"/>
      <c r="R75" s="10"/>
      <c r="S75" s="10"/>
      <c r="T75" s="10"/>
      <c r="U75" s="10"/>
      <c r="V75" s="19"/>
      <c r="W75" s="10"/>
    </row>
    <row r="76" customFormat="false" ht="15" hidden="false" customHeight="false" outlineLevel="0" collapsed="false">
      <c r="A76" s="18"/>
      <c r="B76" s="5"/>
      <c r="C76" s="10"/>
      <c r="D76" s="10"/>
      <c r="E76" s="10"/>
      <c r="F76" s="10"/>
      <c r="G76" s="5"/>
      <c r="H76" s="5"/>
      <c r="I76" s="5"/>
      <c r="J76" s="10"/>
      <c r="K76" s="5"/>
      <c r="L76" s="10"/>
      <c r="M76" s="5"/>
      <c r="N76" s="10"/>
      <c r="O76" s="10"/>
      <c r="P76" s="19"/>
      <c r="Q76" s="19"/>
      <c r="R76" s="10"/>
      <c r="S76" s="10"/>
      <c r="T76" s="10"/>
      <c r="U76" s="10"/>
      <c r="V76" s="19"/>
      <c r="W76" s="10"/>
    </row>
    <row r="77" customFormat="false" ht="15" hidden="false" customHeight="false" outlineLevel="0" collapsed="false">
      <c r="A77" s="18"/>
      <c r="B77" s="5"/>
      <c r="C77" s="10"/>
      <c r="D77" s="10"/>
      <c r="E77" s="10"/>
      <c r="F77" s="10"/>
      <c r="G77" s="5"/>
      <c r="H77" s="5"/>
      <c r="I77" s="5"/>
      <c r="J77" s="10"/>
      <c r="K77" s="5"/>
      <c r="L77" s="10"/>
      <c r="M77" s="5"/>
      <c r="N77" s="10"/>
      <c r="O77" s="10"/>
      <c r="P77" s="19"/>
      <c r="Q77" s="19"/>
      <c r="R77" s="10"/>
      <c r="S77" s="10"/>
      <c r="T77" s="10"/>
      <c r="U77" s="10"/>
      <c r="V77" s="19"/>
      <c r="W77" s="10"/>
    </row>
    <row r="78" customFormat="false" ht="15" hidden="false" customHeight="false" outlineLevel="0" collapsed="false">
      <c r="A78" s="18"/>
      <c r="B78" s="5"/>
      <c r="C78" s="10"/>
      <c r="D78" s="10"/>
      <c r="E78" s="10"/>
      <c r="F78" s="10"/>
      <c r="G78" s="5"/>
      <c r="H78" s="5"/>
      <c r="I78" s="5"/>
      <c r="J78" s="10"/>
      <c r="K78" s="5"/>
      <c r="L78" s="10"/>
      <c r="M78" s="5"/>
      <c r="N78" s="10"/>
      <c r="O78" s="10"/>
      <c r="P78" s="19"/>
      <c r="Q78" s="19"/>
      <c r="R78" s="10"/>
      <c r="S78" s="10"/>
      <c r="T78" s="10"/>
      <c r="U78" s="10"/>
      <c r="V78" s="19"/>
      <c r="W78" s="10"/>
    </row>
    <row r="79" customFormat="false" ht="15" hidden="false" customHeight="false" outlineLevel="0" collapsed="false">
      <c r="A79" s="18"/>
      <c r="B79" s="5"/>
      <c r="C79" s="10"/>
      <c r="D79" s="10"/>
      <c r="E79" s="10"/>
      <c r="F79" s="10"/>
      <c r="G79" s="5"/>
      <c r="H79" s="5"/>
      <c r="I79" s="5"/>
      <c r="J79" s="10"/>
      <c r="K79" s="5"/>
      <c r="L79" s="10"/>
      <c r="M79" s="5"/>
      <c r="N79" s="10"/>
      <c r="O79" s="10"/>
      <c r="P79" s="19"/>
      <c r="Q79" s="19"/>
      <c r="R79" s="10"/>
      <c r="S79" s="10"/>
      <c r="T79" s="10"/>
      <c r="U79" s="10"/>
      <c r="V79" s="19"/>
      <c r="W79" s="10"/>
    </row>
    <row r="80" customFormat="false" ht="15" hidden="false" customHeight="false" outlineLevel="0" collapsed="false">
      <c r="A80" s="18"/>
      <c r="B80" s="5"/>
      <c r="C80" s="10"/>
      <c r="D80" s="10"/>
      <c r="E80" s="10"/>
      <c r="F80" s="10"/>
      <c r="G80" s="5"/>
      <c r="H80" s="5"/>
      <c r="I80" s="5"/>
      <c r="J80" s="10"/>
      <c r="K80" s="5"/>
      <c r="L80" s="10"/>
      <c r="M80" s="5"/>
      <c r="N80" s="10"/>
      <c r="O80" s="10"/>
      <c r="P80" s="19"/>
      <c r="Q80" s="19"/>
      <c r="R80" s="10"/>
      <c r="S80" s="10"/>
      <c r="T80" s="10"/>
      <c r="U80" s="10"/>
      <c r="V80" s="19"/>
      <c r="W80" s="10"/>
    </row>
    <row r="81" customFormat="false" ht="15" hidden="false" customHeight="false" outlineLevel="0" collapsed="false">
      <c r="A81" s="18"/>
      <c r="B81" s="5"/>
      <c r="C81" s="10"/>
      <c r="D81" s="10"/>
      <c r="E81" s="10"/>
      <c r="F81" s="10"/>
      <c r="G81" s="5"/>
      <c r="H81" s="5"/>
      <c r="I81" s="5"/>
      <c r="J81" s="10"/>
      <c r="K81" s="5"/>
      <c r="L81" s="10"/>
      <c r="M81" s="5"/>
      <c r="N81" s="10"/>
      <c r="O81" s="10"/>
      <c r="P81" s="19"/>
      <c r="Q81" s="19"/>
      <c r="R81" s="10"/>
      <c r="S81" s="10"/>
      <c r="T81" s="10"/>
      <c r="U81" s="10"/>
      <c r="V81" s="19"/>
      <c r="W81" s="10"/>
    </row>
    <row r="82" customFormat="false" ht="15" hidden="false" customHeight="false" outlineLevel="0" collapsed="false">
      <c r="A82" s="18"/>
      <c r="B82" s="5"/>
      <c r="C82" s="10"/>
      <c r="D82" s="10"/>
      <c r="E82" s="10"/>
      <c r="F82" s="10"/>
      <c r="G82" s="5"/>
      <c r="H82" s="5"/>
      <c r="I82" s="5"/>
      <c r="J82" s="10"/>
      <c r="K82" s="5"/>
      <c r="L82" s="10"/>
      <c r="M82" s="5"/>
      <c r="N82" s="10"/>
      <c r="O82" s="10"/>
      <c r="P82" s="19"/>
      <c r="Q82" s="19"/>
      <c r="R82" s="10"/>
      <c r="S82" s="10"/>
      <c r="T82" s="10"/>
      <c r="U82" s="10"/>
      <c r="V82" s="19"/>
      <c r="W82" s="10"/>
    </row>
    <row r="83" customFormat="false" ht="15" hidden="false" customHeight="false" outlineLevel="0" collapsed="false">
      <c r="A83" s="18"/>
      <c r="B83" s="5"/>
      <c r="C83" s="10"/>
      <c r="D83" s="10"/>
      <c r="E83" s="10"/>
      <c r="F83" s="10"/>
      <c r="G83" s="5"/>
      <c r="H83" s="5"/>
      <c r="I83" s="5"/>
      <c r="J83" s="10"/>
      <c r="K83" s="5"/>
      <c r="L83" s="10"/>
      <c r="M83" s="5"/>
      <c r="N83" s="10"/>
      <c r="O83" s="10"/>
      <c r="P83" s="19"/>
      <c r="Q83" s="19"/>
      <c r="R83" s="10"/>
      <c r="S83" s="10"/>
      <c r="T83" s="10"/>
      <c r="U83" s="10"/>
      <c r="V83" s="19"/>
      <c r="W83" s="10"/>
    </row>
    <row r="84" customFormat="false" ht="15" hidden="false" customHeight="false" outlineLevel="0" collapsed="false">
      <c r="A84" s="18"/>
      <c r="B84" s="5"/>
      <c r="C84" s="10"/>
      <c r="D84" s="10"/>
      <c r="E84" s="10"/>
      <c r="F84" s="10"/>
      <c r="G84" s="5"/>
      <c r="H84" s="5"/>
      <c r="I84" s="5"/>
      <c r="J84" s="10"/>
      <c r="K84" s="5"/>
      <c r="L84" s="10"/>
      <c r="M84" s="5"/>
      <c r="N84" s="10"/>
      <c r="O84" s="10"/>
      <c r="P84" s="19"/>
      <c r="Q84" s="19"/>
      <c r="R84" s="10"/>
      <c r="S84" s="10"/>
      <c r="T84" s="10"/>
      <c r="U84" s="10"/>
      <c r="V84" s="19"/>
      <c r="W84" s="10"/>
    </row>
    <row r="85" customFormat="false" ht="15" hidden="false" customHeight="false" outlineLevel="0" collapsed="false">
      <c r="A85" s="18"/>
      <c r="B85" s="5"/>
      <c r="C85" s="10"/>
      <c r="D85" s="10"/>
      <c r="E85" s="10"/>
      <c r="F85" s="10"/>
      <c r="G85" s="5"/>
      <c r="H85" s="5"/>
      <c r="I85" s="5"/>
      <c r="J85" s="10"/>
      <c r="K85" s="5"/>
      <c r="L85" s="10"/>
      <c r="M85" s="5"/>
      <c r="N85" s="10"/>
      <c r="O85" s="10"/>
      <c r="P85" s="19"/>
      <c r="Q85" s="19"/>
      <c r="R85" s="10"/>
      <c r="S85" s="10"/>
      <c r="T85" s="10"/>
      <c r="U85" s="10"/>
      <c r="V85" s="19"/>
      <c r="W85" s="10"/>
    </row>
    <row r="86" customFormat="false" ht="15" hidden="false" customHeight="false" outlineLevel="0" collapsed="false">
      <c r="A86" s="18"/>
      <c r="B86" s="5"/>
      <c r="C86" s="10"/>
      <c r="D86" s="10"/>
      <c r="E86" s="10"/>
      <c r="F86" s="10"/>
      <c r="G86" s="5"/>
      <c r="H86" s="5"/>
      <c r="I86" s="5"/>
      <c r="J86" s="10"/>
      <c r="K86" s="5"/>
      <c r="L86" s="10"/>
      <c r="M86" s="5"/>
      <c r="N86" s="10"/>
      <c r="O86" s="10"/>
      <c r="P86" s="19"/>
      <c r="Q86" s="19"/>
      <c r="R86" s="10"/>
      <c r="S86" s="10"/>
      <c r="T86" s="10"/>
      <c r="U86" s="10"/>
      <c r="V86" s="19"/>
      <c r="W86" s="10"/>
    </row>
    <row r="87" customFormat="false" ht="15" hidden="false" customHeight="false" outlineLevel="0" collapsed="false">
      <c r="A87" s="18"/>
      <c r="B87" s="5"/>
      <c r="C87" s="10"/>
      <c r="D87" s="10"/>
      <c r="E87" s="10"/>
      <c r="F87" s="10"/>
      <c r="G87" s="5"/>
      <c r="H87" s="5"/>
      <c r="I87" s="5"/>
      <c r="J87" s="10"/>
      <c r="K87" s="5"/>
      <c r="L87" s="10"/>
      <c r="M87" s="5"/>
      <c r="N87" s="10"/>
      <c r="O87" s="10"/>
      <c r="P87" s="19"/>
      <c r="Q87" s="19"/>
      <c r="R87" s="10"/>
      <c r="S87" s="10"/>
      <c r="T87" s="10"/>
      <c r="U87" s="10"/>
      <c r="V87" s="19"/>
      <c r="W87" s="10"/>
    </row>
    <row r="88" customFormat="false" ht="15" hidden="false" customHeight="false" outlineLevel="0" collapsed="false">
      <c r="A88" s="18"/>
      <c r="B88" s="5"/>
      <c r="C88" s="10"/>
      <c r="D88" s="10"/>
      <c r="E88" s="10"/>
      <c r="F88" s="10"/>
      <c r="G88" s="5"/>
      <c r="H88" s="5"/>
      <c r="I88" s="5"/>
      <c r="J88" s="10"/>
      <c r="K88" s="5"/>
      <c r="L88" s="10"/>
      <c r="M88" s="5"/>
      <c r="N88" s="10"/>
      <c r="O88" s="10"/>
      <c r="P88" s="19"/>
      <c r="Q88" s="19"/>
      <c r="R88" s="10"/>
      <c r="S88" s="10"/>
      <c r="T88" s="10"/>
      <c r="U88" s="10"/>
      <c r="V88" s="19"/>
      <c r="W88" s="10"/>
    </row>
    <row r="89" customFormat="false" ht="15" hidden="false" customHeight="false" outlineLevel="0" collapsed="false">
      <c r="A89" s="18"/>
      <c r="B89" s="5"/>
      <c r="C89" s="10"/>
      <c r="D89" s="10"/>
      <c r="E89" s="10"/>
      <c r="F89" s="10"/>
      <c r="G89" s="5"/>
      <c r="H89" s="5"/>
      <c r="I89" s="5"/>
      <c r="J89" s="10"/>
      <c r="K89" s="5"/>
      <c r="L89" s="10"/>
      <c r="M89" s="5"/>
      <c r="N89" s="10"/>
      <c r="O89" s="10"/>
      <c r="P89" s="19"/>
      <c r="Q89" s="19"/>
      <c r="R89" s="10"/>
      <c r="S89" s="10"/>
      <c r="T89" s="10"/>
      <c r="U89" s="10"/>
      <c r="V89" s="19"/>
      <c r="W89" s="10"/>
    </row>
    <row r="90" customFormat="false" ht="15" hidden="false" customHeight="false" outlineLevel="0" collapsed="false">
      <c r="A90" s="18"/>
      <c r="B90" s="5"/>
      <c r="C90" s="10"/>
      <c r="D90" s="10"/>
      <c r="E90" s="10"/>
      <c r="F90" s="10"/>
      <c r="G90" s="5"/>
      <c r="H90" s="5"/>
      <c r="I90" s="5"/>
      <c r="J90" s="10"/>
      <c r="K90" s="5"/>
      <c r="L90" s="10"/>
      <c r="M90" s="5"/>
      <c r="N90" s="10"/>
      <c r="O90" s="10"/>
      <c r="P90" s="19"/>
      <c r="Q90" s="19"/>
      <c r="R90" s="10"/>
      <c r="S90" s="10"/>
      <c r="T90" s="10"/>
      <c r="U90" s="10"/>
      <c r="V90" s="19"/>
      <c r="W90" s="10"/>
    </row>
    <row r="91" customFormat="false" ht="15" hidden="false" customHeight="false" outlineLevel="0" collapsed="false">
      <c r="A91" s="18"/>
      <c r="B91" s="5"/>
      <c r="C91" s="10"/>
      <c r="D91" s="10"/>
      <c r="E91" s="10"/>
      <c r="F91" s="10"/>
      <c r="G91" s="5"/>
      <c r="H91" s="5"/>
      <c r="I91" s="5"/>
      <c r="J91" s="10"/>
      <c r="K91" s="5"/>
      <c r="L91" s="10"/>
      <c r="M91" s="5"/>
      <c r="N91" s="10"/>
      <c r="O91" s="10"/>
      <c r="P91" s="19"/>
      <c r="Q91" s="19"/>
      <c r="R91" s="10"/>
      <c r="S91" s="10"/>
      <c r="T91" s="10"/>
      <c r="U91" s="10"/>
      <c r="V91" s="19"/>
      <c r="W91" s="10"/>
    </row>
    <row r="92" customFormat="false" ht="15" hidden="false" customHeight="false" outlineLevel="0" collapsed="false">
      <c r="A92" s="18"/>
      <c r="B92" s="5"/>
      <c r="C92" s="10"/>
      <c r="D92" s="10"/>
      <c r="E92" s="10"/>
      <c r="F92" s="10"/>
      <c r="G92" s="5"/>
      <c r="H92" s="5"/>
      <c r="I92" s="5"/>
      <c r="J92" s="10"/>
      <c r="K92" s="5"/>
      <c r="L92" s="10"/>
      <c r="M92" s="5"/>
      <c r="N92" s="10"/>
      <c r="O92" s="10"/>
      <c r="P92" s="19"/>
      <c r="Q92" s="19"/>
      <c r="R92" s="10"/>
      <c r="S92" s="10"/>
      <c r="T92" s="10"/>
      <c r="U92" s="10"/>
      <c r="V92" s="19"/>
      <c r="W92" s="10"/>
    </row>
    <row r="93" customFormat="false" ht="15" hidden="false" customHeight="false" outlineLevel="0" collapsed="false">
      <c r="A93" s="18"/>
      <c r="B93" s="5"/>
      <c r="C93" s="10"/>
      <c r="D93" s="10"/>
      <c r="E93" s="10"/>
      <c r="F93" s="10"/>
      <c r="G93" s="5"/>
      <c r="H93" s="5"/>
      <c r="I93" s="5"/>
      <c r="J93" s="10"/>
      <c r="K93" s="5"/>
      <c r="L93" s="10"/>
      <c r="M93" s="5"/>
      <c r="N93" s="10"/>
      <c r="O93" s="10"/>
      <c r="P93" s="19"/>
      <c r="Q93" s="19"/>
      <c r="R93" s="10"/>
      <c r="S93" s="10"/>
      <c r="T93" s="10"/>
      <c r="U93" s="10"/>
      <c r="V93" s="19"/>
      <c r="W93" s="10"/>
    </row>
    <row r="94" customFormat="false" ht="15" hidden="false" customHeight="false" outlineLevel="0" collapsed="false">
      <c r="A94" s="18"/>
      <c r="B94" s="5"/>
      <c r="C94" s="10"/>
      <c r="D94" s="10"/>
      <c r="E94" s="10"/>
      <c r="F94" s="10"/>
      <c r="G94" s="5"/>
      <c r="H94" s="5"/>
      <c r="I94" s="5"/>
      <c r="J94" s="10"/>
      <c r="K94" s="5"/>
      <c r="L94" s="10"/>
      <c r="M94" s="5"/>
      <c r="N94" s="10"/>
      <c r="O94" s="10"/>
      <c r="P94" s="19"/>
      <c r="Q94" s="19"/>
      <c r="R94" s="10"/>
      <c r="S94" s="10"/>
      <c r="T94" s="10"/>
      <c r="U94" s="10"/>
      <c r="V94" s="19"/>
      <c r="W94" s="10"/>
    </row>
    <row r="95" customFormat="false" ht="15" hidden="false" customHeight="false" outlineLevel="0" collapsed="false">
      <c r="A95" s="18"/>
      <c r="B95" s="5"/>
      <c r="C95" s="10"/>
      <c r="D95" s="10"/>
      <c r="E95" s="10"/>
      <c r="F95" s="10"/>
      <c r="G95" s="5"/>
      <c r="H95" s="5"/>
      <c r="I95" s="5"/>
      <c r="J95" s="10"/>
      <c r="K95" s="5"/>
      <c r="L95" s="10"/>
      <c r="M95" s="5"/>
      <c r="N95" s="10"/>
      <c r="O95" s="10"/>
      <c r="P95" s="19"/>
      <c r="Q95" s="19"/>
      <c r="R95" s="10"/>
      <c r="S95" s="10"/>
      <c r="T95" s="10"/>
      <c r="U95" s="10"/>
      <c r="V95" s="19"/>
      <c r="W95" s="10"/>
    </row>
    <row r="96" customFormat="false" ht="15" hidden="false" customHeight="false" outlineLevel="0" collapsed="false">
      <c r="A96" s="18"/>
      <c r="B96" s="5"/>
      <c r="C96" s="10"/>
      <c r="D96" s="10"/>
      <c r="E96" s="10"/>
      <c r="F96" s="10"/>
      <c r="G96" s="5"/>
      <c r="H96" s="5"/>
      <c r="I96" s="5"/>
      <c r="J96" s="10"/>
      <c r="K96" s="5"/>
      <c r="L96" s="10"/>
      <c r="M96" s="5"/>
      <c r="N96" s="10"/>
      <c r="O96" s="10"/>
      <c r="P96" s="19"/>
      <c r="Q96" s="19"/>
      <c r="R96" s="10"/>
      <c r="S96" s="10"/>
      <c r="T96" s="10"/>
      <c r="U96" s="10"/>
      <c r="V96" s="19"/>
      <c r="W96" s="10"/>
    </row>
    <row r="97" customFormat="false" ht="15" hidden="false" customHeight="false" outlineLevel="0" collapsed="false">
      <c r="A97" s="18"/>
      <c r="B97" s="5"/>
      <c r="C97" s="10"/>
      <c r="D97" s="10"/>
      <c r="E97" s="10"/>
      <c r="F97" s="10"/>
      <c r="G97" s="5"/>
      <c r="H97" s="5"/>
      <c r="I97" s="5"/>
      <c r="J97" s="10"/>
      <c r="K97" s="5"/>
      <c r="L97" s="10"/>
      <c r="M97" s="5"/>
      <c r="N97" s="10"/>
      <c r="O97" s="10"/>
      <c r="P97" s="19"/>
      <c r="Q97" s="19"/>
      <c r="R97" s="10"/>
      <c r="S97" s="10"/>
      <c r="T97" s="10"/>
      <c r="U97" s="10"/>
      <c r="V97" s="19"/>
      <c r="W97" s="10"/>
    </row>
    <row r="98" customFormat="false" ht="15" hidden="false" customHeight="false" outlineLevel="0" collapsed="false">
      <c r="A98" s="18"/>
      <c r="B98" s="5"/>
      <c r="C98" s="10"/>
      <c r="D98" s="10"/>
      <c r="E98" s="10"/>
      <c r="F98" s="10"/>
      <c r="G98" s="5"/>
      <c r="H98" s="5"/>
      <c r="I98" s="5"/>
      <c r="J98" s="10"/>
      <c r="K98" s="5"/>
      <c r="L98" s="10"/>
      <c r="M98" s="5"/>
      <c r="N98" s="10"/>
      <c r="O98" s="10"/>
      <c r="P98" s="19"/>
      <c r="Q98" s="19"/>
      <c r="R98" s="10"/>
      <c r="S98" s="10"/>
      <c r="T98" s="10"/>
      <c r="U98" s="10"/>
      <c r="V98" s="19"/>
      <c r="W98" s="10"/>
    </row>
    <row r="99" customFormat="false" ht="15" hidden="false" customHeight="false" outlineLevel="0" collapsed="false">
      <c r="A99" s="18"/>
      <c r="B99" s="5"/>
      <c r="C99" s="10"/>
      <c r="D99" s="10"/>
      <c r="E99" s="10"/>
      <c r="F99" s="10"/>
      <c r="G99" s="5"/>
      <c r="H99" s="5"/>
      <c r="I99" s="5"/>
      <c r="J99" s="10"/>
      <c r="K99" s="5"/>
      <c r="L99" s="10"/>
      <c r="M99" s="5"/>
      <c r="N99" s="10"/>
      <c r="O99" s="10"/>
      <c r="P99" s="19"/>
      <c r="Q99" s="19"/>
      <c r="R99" s="10"/>
      <c r="S99" s="10"/>
      <c r="T99" s="10"/>
      <c r="U99" s="10"/>
      <c r="V99" s="19"/>
      <c r="W99" s="10"/>
    </row>
    <row r="100" customFormat="false" ht="15" hidden="false" customHeight="false" outlineLevel="0" collapsed="false">
      <c r="A100" s="18"/>
      <c r="B100" s="5"/>
      <c r="C100" s="10"/>
      <c r="D100" s="10"/>
      <c r="E100" s="10"/>
      <c r="F100" s="10"/>
      <c r="G100" s="5"/>
      <c r="H100" s="5"/>
      <c r="I100" s="5"/>
      <c r="J100" s="10"/>
      <c r="K100" s="5"/>
      <c r="L100" s="10"/>
      <c r="M100" s="5"/>
      <c r="N100" s="10"/>
      <c r="O100" s="10"/>
      <c r="P100" s="19"/>
      <c r="Q100" s="19"/>
      <c r="R100" s="10"/>
      <c r="S100" s="10"/>
      <c r="T100" s="10"/>
      <c r="U100" s="10"/>
      <c r="V100" s="19"/>
      <c r="W100" s="10"/>
    </row>
    <row r="101" customFormat="false" ht="15" hidden="false" customHeight="false" outlineLevel="0" collapsed="false">
      <c r="A101" s="18"/>
      <c r="B101" s="5"/>
      <c r="C101" s="10"/>
      <c r="D101" s="10"/>
      <c r="E101" s="10"/>
      <c r="F101" s="10"/>
      <c r="G101" s="5"/>
      <c r="H101" s="5"/>
      <c r="I101" s="5"/>
      <c r="J101" s="10"/>
      <c r="K101" s="5"/>
      <c r="L101" s="10"/>
      <c r="M101" s="5"/>
      <c r="N101" s="10"/>
      <c r="O101" s="10"/>
      <c r="P101" s="19"/>
      <c r="Q101" s="19"/>
      <c r="R101" s="10"/>
      <c r="S101" s="10"/>
      <c r="T101" s="10"/>
      <c r="U101" s="10"/>
      <c r="V101" s="19"/>
      <c r="W101" s="10"/>
    </row>
    <row r="102" customFormat="false" ht="15" hidden="false" customHeight="false" outlineLevel="0" collapsed="false">
      <c r="A102" s="18"/>
      <c r="B102" s="5"/>
      <c r="C102" s="10"/>
      <c r="D102" s="10"/>
      <c r="E102" s="10"/>
      <c r="F102" s="10"/>
      <c r="G102" s="5"/>
      <c r="H102" s="5"/>
      <c r="I102" s="5"/>
      <c r="J102" s="10"/>
      <c r="K102" s="5"/>
      <c r="L102" s="10"/>
      <c r="M102" s="5"/>
      <c r="N102" s="10"/>
      <c r="O102" s="10"/>
      <c r="P102" s="19"/>
      <c r="Q102" s="19"/>
      <c r="R102" s="10"/>
      <c r="S102" s="10"/>
      <c r="T102" s="10"/>
      <c r="U102" s="10"/>
      <c r="V102" s="19"/>
      <c r="W102" s="10"/>
    </row>
    <row r="103" customFormat="false" ht="15" hidden="false" customHeight="false" outlineLevel="0" collapsed="false">
      <c r="A103" s="18"/>
      <c r="B103" s="5"/>
      <c r="C103" s="10"/>
      <c r="D103" s="10"/>
      <c r="E103" s="10"/>
      <c r="F103" s="10"/>
      <c r="G103" s="5"/>
      <c r="H103" s="5"/>
      <c r="I103" s="5"/>
      <c r="J103" s="10"/>
      <c r="K103" s="5"/>
      <c r="L103" s="10"/>
      <c r="M103" s="5"/>
      <c r="N103" s="10"/>
      <c r="O103" s="10"/>
      <c r="P103" s="19"/>
      <c r="Q103" s="19"/>
      <c r="R103" s="10"/>
      <c r="S103" s="10"/>
      <c r="T103" s="10"/>
      <c r="U103" s="10"/>
      <c r="V103" s="19"/>
      <c r="W103" s="10"/>
    </row>
    <row r="104" customFormat="false" ht="15" hidden="false" customHeight="false" outlineLevel="0" collapsed="false">
      <c r="A104" s="18"/>
      <c r="B104" s="5"/>
      <c r="C104" s="10"/>
      <c r="D104" s="10"/>
      <c r="E104" s="10"/>
      <c r="F104" s="10"/>
      <c r="G104" s="5"/>
      <c r="H104" s="5"/>
      <c r="I104" s="5"/>
      <c r="J104" s="10"/>
      <c r="K104" s="5"/>
      <c r="L104" s="10"/>
      <c r="M104" s="5"/>
      <c r="N104" s="10"/>
      <c r="O104" s="10"/>
      <c r="P104" s="19"/>
      <c r="Q104" s="19"/>
      <c r="R104" s="10"/>
      <c r="S104" s="10"/>
      <c r="T104" s="10"/>
      <c r="U104" s="10"/>
      <c r="V104" s="19"/>
      <c r="W104" s="10"/>
    </row>
    <row r="105" customFormat="false" ht="15" hidden="false" customHeight="false" outlineLevel="0" collapsed="false">
      <c r="A105" s="18"/>
      <c r="B105" s="5"/>
      <c r="C105" s="10"/>
      <c r="D105" s="10"/>
      <c r="E105" s="10"/>
      <c r="F105" s="10"/>
      <c r="G105" s="5"/>
      <c r="H105" s="5"/>
      <c r="I105" s="5"/>
      <c r="J105" s="10"/>
      <c r="K105" s="5"/>
      <c r="L105" s="10"/>
      <c r="M105" s="5"/>
      <c r="N105" s="10"/>
      <c r="O105" s="10"/>
      <c r="P105" s="19"/>
      <c r="Q105" s="19"/>
      <c r="R105" s="10"/>
      <c r="S105" s="10"/>
      <c r="T105" s="10"/>
      <c r="U105" s="10"/>
      <c r="V105" s="19"/>
      <c r="W105" s="10"/>
    </row>
    <row r="106" customFormat="false" ht="15" hidden="false" customHeight="false" outlineLevel="0" collapsed="false">
      <c r="A106" s="18"/>
      <c r="B106" s="5"/>
      <c r="C106" s="10"/>
      <c r="D106" s="10"/>
      <c r="E106" s="10"/>
      <c r="F106" s="10"/>
      <c r="G106" s="5"/>
      <c r="H106" s="5"/>
      <c r="I106" s="5"/>
      <c r="J106" s="10"/>
      <c r="K106" s="5"/>
      <c r="L106" s="10"/>
      <c r="M106" s="5"/>
      <c r="N106" s="10"/>
      <c r="O106" s="10"/>
      <c r="P106" s="19"/>
      <c r="Q106" s="19"/>
      <c r="R106" s="10"/>
      <c r="S106" s="10"/>
      <c r="T106" s="10"/>
      <c r="U106" s="10"/>
      <c r="V106" s="19"/>
      <c r="W106" s="10"/>
    </row>
    <row r="107" customFormat="false" ht="15" hidden="false" customHeight="false" outlineLevel="0" collapsed="false">
      <c r="A107" s="18"/>
      <c r="B107" s="5"/>
      <c r="C107" s="10"/>
      <c r="D107" s="10"/>
      <c r="E107" s="10"/>
      <c r="F107" s="10"/>
      <c r="G107" s="5"/>
      <c r="H107" s="5"/>
      <c r="I107" s="5"/>
      <c r="J107" s="10"/>
      <c r="K107" s="5"/>
      <c r="L107" s="10"/>
      <c r="M107" s="5"/>
      <c r="N107" s="10"/>
      <c r="O107" s="10"/>
      <c r="P107" s="19"/>
      <c r="Q107" s="19"/>
      <c r="R107" s="10"/>
      <c r="S107" s="10"/>
      <c r="T107" s="10"/>
      <c r="U107" s="10"/>
      <c r="V107" s="19"/>
      <c r="W107" s="10"/>
    </row>
    <row r="108" customFormat="false" ht="15" hidden="false" customHeight="false" outlineLevel="0" collapsed="false">
      <c r="A108" s="18"/>
      <c r="B108" s="5"/>
      <c r="C108" s="10"/>
      <c r="D108" s="10"/>
      <c r="E108" s="10"/>
      <c r="F108" s="10"/>
      <c r="G108" s="5"/>
      <c r="H108" s="5"/>
      <c r="I108" s="5"/>
      <c r="J108" s="10"/>
      <c r="K108" s="5"/>
      <c r="L108" s="10"/>
      <c r="M108" s="5"/>
      <c r="N108" s="10"/>
      <c r="O108" s="10"/>
      <c r="P108" s="19"/>
      <c r="Q108" s="19"/>
      <c r="R108" s="10"/>
      <c r="S108" s="10"/>
      <c r="T108" s="10"/>
      <c r="U108" s="10"/>
      <c r="V108" s="19"/>
      <c r="W108" s="10"/>
    </row>
    <row r="109" customFormat="false" ht="15" hidden="false" customHeight="false" outlineLevel="0" collapsed="false">
      <c r="A109" s="18"/>
      <c r="B109" s="5"/>
      <c r="C109" s="10"/>
      <c r="D109" s="10"/>
      <c r="E109" s="10"/>
      <c r="F109" s="10"/>
      <c r="G109" s="5"/>
      <c r="H109" s="5"/>
      <c r="I109" s="5"/>
      <c r="J109" s="10"/>
      <c r="K109" s="5"/>
      <c r="L109" s="10"/>
      <c r="M109" s="5"/>
      <c r="N109" s="10"/>
      <c r="O109" s="10"/>
      <c r="P109" s="19"/>
      <c r="Q109" s="19"/>
      <c r="R109" s="10"/>
      <c r="S109" s="10"/>
      <c r="T109" s="10"/>
      <c r="U109" s="10"/>
      <c r="V109" s="19"/>
      <c r="W109" s="10"/>
    </row>
    <row r="110" customFormat="false" ht="15" hidden="false" customHeight="false" outlineLevel="0" collapsed="false">
      <c r="A110" s="18"/>
      <c r="B110" s="5"/>
      <c r="C110" s="10"/>
      <c r="D110" s="10"/>
      <c r="E110" s="10"/>
      <c r="F110" s="10"/>
      <c r="G110" s="5"/>
      <c r="H110" s="5"/>
      <c r="I110" s="5"/>
      <c r="J110" s="10"/>
      <c r="K110" s="5"/>
      <c r="L110" s="10"/>
      <c r="M110" s="5"/>
      <c r="N110" s="10"/>
      <c r="O110" s="10"/>
      <c r="P110" s="19"/>
      <c r="Q110" s="19"/>
      <c r="R110" s="10"/>
      <c r="S110" s="10"/>
      <c r="T110" s="10"/>
      <c r="U110" s="10"/>
      <c r="V110" s="19"/>
      <c r="W110" s="10"/>
    </row>
    <row r="111" customFormat="false" ht="15" hidden="false" customHeight="false" outlineLevel="0" collapsed="false">
      <c r="A111" s="18"/>
      <c r="B111" s="5"/>
      <c r="C111" s="10"/>
      <c r="D111" s="10"/>
      <c r="E111" s="10"/>
      <c r="F111" s="10"/>
      <c r="G111" s="5"/>
      <c r="H111" s="5"/>
      <c r="I111" s="5"/>
      <c r="J111" s="10"/>
      <c r="K111" s="5"/>
      <c r="L111" s="10"/>
      <c r="M111" s="5"/>
      <c r="N111" s="10"/>
      <c r="O111" s="10"/>
      <c r="P111" s="19"/>
      <c r="Q111" s="19"/>
      <c r="R111" s="10"/>
      <c r="S111" s="10"/>
      <c r="T111" s="10"/>
      <c r="U111" s="10"/>
      <c r="V111" s="19"/>
      <c r="W111" s="10"/>
    </row>
    <row r="112" customFormat="false" ht="15" hidden="false" customHeight="false" outlineLevel="0" collapsed="false">
      <c r="A112" s="18"/>
      <c r="B112" s="5"/>
      <c r="C112" s="10"/>
      <c r="D112" s="10"/>
      <c r="E112" s="10"/>
      <c r="F112" s="10"/>
      <c r="G112" s="5"/>
      <c r="H112" s="5"/>
      <c r="I112" s="5"/>
      <c r="J112" s="10"/>
      <c r="K112" s="5"/>
      <c r="L112" s="10"/>
      <c r="M112" s="5"/>
      <c r="N112" s="10"/>
      <c r="O112" s="10"/>
      <c r="P112" s="19"/>
      <c r="Q112" s="19"/>
      <c r="R112" s="10"/>
      <c r="S112" s="10"/>
      <c r="T112" s="10"/>
      <c r="U112" s="10"/>
      <c r="V112" s="19"/>
      <c r="W112" s="10"/>
    </row>
    <row r="113" customFormat="false" ht="15" hidden="false" customHeight="false" outlineLevel="0" collapsed="false">
      <c r="A113" s="18"/>
      <c r="B113" s="5"/>
      <c r="C113" s="10"/>
      <c r="D113" s="10"/>
      <c r="E113" s="10"/>
      <c r="F113" s="10"/>
      <c r="G113" s="5"/>
      <c r="H113" s="5"/>
      <c r="I113" s="5"/>
      <c r="J113" s="10"/>
      <c r="K113" s="5"/>
      <c r="L113" s="10"/>
      <c r="M113" s="5"/>
      <c r="N113" s="10"/>
      <c r="O113" s="10"/>
      <c r="P113" s="19"/>
      <c r="Q113" s="19"/>
      <c r="R113" s="10"/>
      <c r="S113" s="10"/>
      <c r="T113" s="10"/>
      <c r="U113" s="10"/>
      <c r="V113" s="19"/>
      <c r="W113" s="10"/>
    </row>
    <row r="114" customFormat="false" ht="15" hidden="false" customHeight="false" outlineLevel="0" collapsed="false">
      <c r="A114" s="18"/>
      <c r="B114" s="5"/>
      <c r="C114" s="10"/>
      <c r="D114" s="10"/>
      <c r="E114" s="10"/>
      <c r="F114" s="10"/>
      <c r="G114" s="5"/>
      <c r="H114" s="5"/>
      <c r="I114" s="5"/>
      <c r="J114" s="10"/>
      <c r="K114" s="5"/>
      <c r="L114" s="10"/>
      <c r="M114" s="5"/>
      <c r="N114" s="10"/>
      <c r="O114" s="10"/>
      <c r="P114" s="19"/>
      <c r="Q114" s="19"/>
      <c r="R114" s="10"/>
      <c r="S114" s="10"/>
      <c r="T114" s="10"/>
      <c r="U114" s="10"/>
      <c r="V114" s="19"/>
      <c r="W114" s="10"/>
    </row>
    <row r="115" customFormat="false" ht="15" hidden="false" customHeight="false" outlineLevel="0" collapsed="false">
      <c r="A115" s="18"/>
      <c r="B115" s="5"/>
      <c r="C115" s="10"/>
      <c r="D115" s="10"/>
      <c r="E115" s="10"/>
      <c r="F115" s="10"/>
      <c r="G115" s="5"/>
      <c r="H115" s="5"/>
      <c r="I115" s="5"/>
      <c r="J115" s="10"/>
      <c r="K115" s="5"/>
      <c r="L115" s="10"/>
      <c r="M115" s="5"/>
      <c r="N115" s="10"/>
      <c r="O115" s="10"/>
      <c r="P115" s="19"/>
      <c r="Q115" s="19"/>
      <c r="R115" s="10"/>
      <c r="S115" s="10"/>
      <c r="T115" s="10"/>
      <c r="U115" s="10"/>
      <c r="V115" s="19"/>
      <c r="W115" s="10"/>
    </row>
    <row r="116" customFormat="false" ht="15" hidden="false" customHeight="false" outlineLevel="0" collapsed="false">
      <c r="A116" s="18"/>
      <c r="B116" s="5"/>
      <c r="C116" s="10"/>
      <c r="D116" s="10"/>
      <c r="E116" s="10"/>
      <c r="F116" s="10"/>
      <c r="G116" s="5"/>
      <c r="H116" s="5"/>
      <c r="I116" s="5"/>
      <c r="J116" s="10"/>
      <c r="K116" s="5"/>
      <c r="L116" s="10"/>
      <c r="M116" s="5"/>
      <c r="N116" s="10"/>
      <c r="O116" s="10"/>
      <c r="P116" s="19"/>
      <c r="Q116" s="19"/>
      <c r="R116" s="10"/>
      <c r="S116" s="10"/>
      <c r="T116" s="10"/>
      <c r="U116" s="10"/>
      <c r="V116" s="19"/>
      <c r="W116" s="10"/>
    </row>
    <row r="117" customFormat="false" ht="15" hidden="false" customHeight="false" outlineLevel="0" collapsed="false">
      <c r="A117" s="18"/>
      <c r="B117" s="5"/>
      <c r="C117" s="10"/>
      <c r="D117" s="10"/>
      <c r="E117" s="10"/>
      <c r="F117" s="10"/>
      <c r="G117" s="5"/>
      <c r="H117" s="5"/>
      <c r="I117" s="5"/>
      <c r="J117" s="10"/>
      <c r="K117" s="5"/>
      <c r="L117" s="10"/>
      <c r="M117" s="5"/>
      <c r="N117" s="10"/>
      <c r="O117" s="10"/>
      <c r="P117" s="19"/>
      <c r="Q117" s="19"/>
      <c r="R117" s="10"/>
      <c r="S117" s="10"/>
      <c r="T117" s="10"/>
      <c r="U117" s="10"/>
      <c r="V117" s="19"/>
      <c r="W117" s="10"/>
    </row>
    <row r="118" customFormat="false" ht="15" hidden="false" customHeight="false" outlineLevel="0" collapsed="false">
      <c r="A118" s="18"/>
      <c r="B118" s="5"/>
      <c r="C118" s="10"/>
      <c r="D118" s="10"/>
      <c r="E118" s="10"/>
      <c r="F118" s="10"/>
      <c r="G118" s="5"/>
      <c r="H118" s="5"/>
      <c r="I118" s="5"/>
      <c r="J118" s="10"/>
      <c r="K118" s="5"/>
      <c r="L118" s="10"/>
      <c r="M118" s="5"/>
      <c r="N118" s="10"/>
      <c r="O118" s="10"/>
      <c r="P118" s="19"/>
      <c r="Q118" s="19"/>
      <c r="R118" s="10"/>
      <c r="S118" s="10"/>
      <c r="T118" s="10"/>
      <c r="U118" s="10"/>
      <c r="V118" s="19"/>
      <c r="W118" s="10"/>
    </row>
    <row r="119" customFormat="false" ht="15" hidden="false" customHeight="false" outlineLevel="0" collapsed="false">
      <c r="A119" s="18"/>
      <c r="B119" s="5"/>
      <c r="C119" s="10"/>
      <c r="D119" s="10"/>
      <c r="E119" s="10"/>
      <c r="F119" s="10"/>
      <c r="G119" s="5"/>
      <c r="H119" s="5"/>
      <c r="I119" s="5"/>
      <c r="J119" s="10"/>
      <c r="K119" s="5"/>
      <c r="L119" s="10"/>
      <c r="M119" s="5"/>
      <c r="N119" s="10"/>
      <c r="O119" s="10"/>
      <c r="P119" s="19"/>
      <c r="Q119" s="19"/>
      <c r="R119" s="10"/>
      <c r="S119" s="10"/>
      <c r="T119" s="10"/>
      <c r="U119" s="10"/>
      <c r="V119" s="19"/>
      <c r="W119" s="10"/>
    </row>
    <row r="120" customFormat="false" ht="15" hidden="false" customHeight="false" outlineLevel="0" collapsed="false">
      <c r="A120" s="18"/>
      <c r="B120" s="5"/>
      <c r="C120" s="10"/>
      <c r="D120" s="10"/>
      <c r="E120" s="10"/>
      <c r="F120" s="10"/>
      <c r="G120" s="5"/>
      <c r="H120" s="5"/>
      <c r="I120" s="5"/>
      <c r="J120" s="10"/>
      <c r="K120" s="5"/>
      <c r="L120" s="10"/>
      <c r="M120" s="5"/>
      <c r="N120" s="10"/>
      <c r="O120" s="10"/>
      <c r="P120" s="19"/>
      <c r="Q120" s="19"/>
      <c r="R120" s="10"/>
      <c r="S120" s="10"/>
      <c r="T120" s="10"/>
      <c r="U120" s="10"/>
      <c r="V120" s="19"/>
      <c r="W120" s="10"/>
    </row>
    <row r="121" customFormat="false" ht="15" hidden="false" customHeight="false" outlineLevel="0" collapsed="false">
      <c r="A121" s="18"/>
      <c r="B121" s="5"/>
      <c r="C121" s="10"/>
      <c r="D121" s="10"/>
      <c r="E121" s="10"/>
      <c r="F121" s="10"/>
      <c r="G121" s="5"/>
      <c r="H121" s="5"/>
      <c r="I121" s="5"/>
      <c r="J121" s="10"/>
      <c r="K121" s="5"/>
      <c r="L121" s="10"/>
      <c r="M121" s="5"/>
      <c r="N121" s="10"/>
      <c r="O121" s="10"/>
      <c r="P121" s="19"/>
      <c r="Q121" s="19"/>
      <c r="R121" s="10"/>
      <c r="S121" s="10"/>
      <c r="T121" s="10"/>
      <c r="U121" s="10"/>
      <c r="V121" s="19"/>
      <c r="W121" s="10"/>
    </row>
    <row r="122" customFormat="false" ht="15" hidden="false" customHeight="false" outlineLevel="0" collapsed="false">
      <c r="A122" s="18"/>
      <c r="B122" s="5"/>
      <c r="C122" s="10"/>
      <c r="D122" s="10"/>
      <c r="E122" s="10"/>
      <c r="F122" s="10"/>
      <c r="G122" s="5"/>
      <c r="H122" s="5"/>
      <c r="I122" s="5"/>
      <c r="J122" s="10"/>
      <c r="K122" s="5"/>
      <c r="L122" s="10"/>
      <c r="M122" s="5"/>
      <c r="N122" s="10"/>
      <c r="O122" s="10"/>
      <c r="P122" s="19"/>
      <c r="Q122" s="19"/>
      <c r="R122" s="10"/>
      <c r="S122" s="10"/>
      <c r="T122" s="10"/>
      <c r="U122" s="10"/>
      <c r="V122" s="19"/>
      <c r="W122" s="10"/>
    </row>
    <row r="123" customFormat="false" ht="15" hidden="false" customHeight="false" outlineLevel="0" collapsed="false">
      <c r="A123" s="18"/>
      <c r="B123" s="5"/>
      <c r="C123" s="10"/>
      <c r="D123" s="10"/>
      <c r="E123" s="10"/>
      <c r="F123" s="10"/>
      <c r="G123" s="5"/>
      <c r="H123" s="5"/>
      <c r="I123" s="5"/>
      <c r="J123" s="10"/>
      <c r="K123" s="5"/>
      <c r="L123" s="10"/>
      <c r="M123" s="5"/>
      <c r="N123" s="10"/>
      <c r="O123" s="10"/>
      <c r="P123" s="19"/>
      <c r="Q123" s="19"/>
      <c r="R123" s="10"/>
      <c r="S123" s="10"/>
      <c r="T123" s="10"/>
      <c r="U123" s="10"/>
      <c r="V123" s="19"/>
      <c r="W123" s="10"/>
    </row>
    <row r="124" customFormat="false" ht="15" hidden="false" customHeight="false" outlineLevel="0" collapsed="false">
      <c r="A124" s="18"/>
      <c r="B124" s="5"/>
      <c r="C124" s="10"/>
      <c r="D124" s="10"/>
      <c r="E124" s="10"/>
      <c r="F124" s="10"/>
      <c r="G124" s="5"/>
      <c r="H124" s="5"/>
      <c r="I124" s="5"/>
      <c r="J124" s="10"/>
      <c r="K124" s="5"/>
      <c r="L124" s="10"/>
      <c r="M124" s="5"/>
      <c r="N124" s="10"/>
      <c r="O124" s="10"/>
      <c r="P124" s="19"/>
      <c r="Q124" s="19"/>
      <c r="R124" s="10"/>
      <c r="S124" s="10"/>
      <c r="T124" s="10"/>
      <c r="U124" s="10"/>
      <c r="V124" s="19"/>
      <c r="W124" s="10"/>
    </row>
    <row r="125" customFormat="false" ht="15" hidden="false" customHeight="false" outlineLevel="0" collapsed="false">
      <c r="A125" s="18"/>
      <c r="B125" s="5"/>
      <c r="C125" s="10"/>
      <c r="D125" s="10"/>
      <c r="E125" s="10"/>
      <c r="F125" s="10"/>
      <c r="G125" s="5"/>
      <c r="H125" s="5"/>
      <c r="I125" s="5"/>
      <c r="J125" s="10"/>
      <c r="K125" s="5"/>
      <c r="L125" s="10"/>
      <c r="M125" s="5"/>
      <c r="N125" s="10"/>
      <c r="O125" s="10"/>
      <c r="P125" s="19"/>
      <c r="Q125" s="19"/>
      <c r="R125" s="10"/>
      <c r="S125" s="10"/>
      <c r="T125" s="10"/>
      <c r="U125" s="10"/>
      <c r="V125" s="19"/>
      <c r="W125" s="10"/>
    </row>
    <row r="126" customFormat="false" ht="15" hidden="false" customHeight="false" outlineLevel="0" collapsed="false">
      <c r="A126" s="18"/>
      <c r="B126" s="5"/>
      <c r="C126" s="10"/>
      <c r="D126" s="10"/>
      <c r="E126" s="10"/>
      <c r="F126" s="10"/>
      <c r="G126" s="5"/>
      <c r="H126" s="5"/>
      <c r="I126" s="5"/>
      <c r="J126" s="10"/>
      <c r="K126" s="5"/>
      <c r="L126" s="10"/>
      <c r="M126" s="5"/>
      <c r="N126" s="10"/>
      <c r="O126" s="10"/>
      <c r="P126" s="19"/>
      <c r="Q126" s="19"/>
      <c r="R126" s="10"/>
      <c r="S126" s="10"/>
      <c r="T126" s="10"/>
      <c r="U126" s="10"/>
      <c r="V126" s="19"/>
      <c r="W126" s="10"/>
    </row>
    <row r="127" customFormat="false" ht="15" hidden="false" customHeight="false" outlineLevel="0" collapsed="false">
      <c r="A127" s="18"/>
      <c r="B127" s="5"/>
      <c r="C127" s="10"/>
      <c r="D127" s="10"/>
      <c r="E127" s="10"/>
      <c r="F127" s="10"/>
      <c r="G127" s="5"/>
      <c r="H127" s="5"/>
      <c r="I127" s="5"/>
      <c r="J127" s="10"/>
      <c r="K127" s="5"/>
      <c r="L127" s="10"/>
      <c r="M127" s="5"/>
      <c r="N127" s="10"/>
      <c r="O127" s="10"/>
      <c r="P127" s="19"/>
      <c r="Q127" s="19"/>
      <c r="R127" s="10"/>
      <c r="S127" s="10"/>
      <c r="T127" s="10"/>
      <c r="U127" s="10"/>
      <c r="V127" s="19"/>
      <c r="W127" s="10"/>
    </row>
    <row r="128" customFormat="false" ht="15" hidden="false" customHeight="false" outlineLevel="0" collapsed="false">
      <c r="A128" s="18"/>
      <c r="B128" s="5"/>
      <c r="C128" s="10"/>
      <c r="D128" s="10"/>
      <c r="E128" s="10"/>
      <c r="F128" s="10"/>
      <c r="G128" s="5"/>
      <c r="H128" s="5"/>
      <c r="I128" s="5"/>
      <c r="J128" s="10"/>
      <c r="K128" s="5"/>
      <c r="L128" s="10"/>
      <c r="M128" s="5"/>
      <c r="N128" s="10"/>
      <c r="O128" s="10"/>
      <c r="P128" s="19"/>
      <c r="Q128" s="19"/>
      <c r="R128" s="10"/>
      <c r="S128" s="10"/>
      <c r="T128" s="10"/>
      <c r="U128" s="10"/>
      <c r="V128" s="19"/>
      <c r="W128" s="10"/>
    </row>
    <row r="129" customFormat="false" ht="15" hidden="false" customHeight="false" outlineLevel="0" collapsed="false">
      <c r="A129" s="18"/>
      <c r="B129" s="5"/>
      <c r="C129" s="10"/>
      <c r="D129" s="10"/>
      <c r="E129" s="10"/>
      <c r="F129" s="10"/>
      <c r="G129" s="5"/>
      <c r="H129" s="5"/>
      <c r="I129" s="5"/>
      <c r="J129" s="10"/>
      <c r="K129" s="5"/>
      <c r="L129" s="10"/>
      <c r="M129" s="5"/>
      <c r="N129" s="10"/>
      <c r="O129" s="10"/>
      <c r="P129" s="19"/>
      <c r="Q129" s="19"/>
      <c r="R129" s="10"/>
      <c r="S129" s="10"/>
      <c r="T129" s="10"/>
      <c r="U129" s="10"/>
      <c r="V129" s="19"/>
      <c r="W129" s="10"/>
    </row>
    <row r="130" customFormat="false" ht="15" hidden="false" customHeight="false" outlineLevel="0" collapsed="false">
      <c r="A130" s="18"/>
      <c r="B130" s="5"/>
      <c r="C130" s="10"/>
      <c r="D130" s="10"/>
      <c r="E130" s="10"/>
      <c r="F130" s="10"/>
      <c r="G130" s="5"/>
      <c r="H130" s="5"/>
      <c r="I130" s="5"/>
      <c r="J130" s="10"/>
      <c r="K130" s="5"/>
      <c r="L130" s="10"/>
      <c r="M130" s="5"/>
      <c r="N130" s="10"/>
      <c r="O130" s="10"/>
      <c r="P130" s="19"/>
      <c r="Q130" s="19"/>
      <c r="R130" s="10"/>
      <c r="S130" s="10"/>
      <c r="T130" s="10"/>
      <c r="U130" s="10"/>
      <c r="V130" s="19"/>
      <c r="W130" s="10"/>
    </row>
    <row r="131" customFormat="false" ht="15" hidden="false" customHeight="false" outlineLevel="0" collapsed="false">
      <c r="A131" s="18"/>
      <c r="B131" s="5"/>
      <c r="C131" s="10"/>
      <c r="D131" s="10"/>
      <c r="E131" s="10"/>
      <c r="F131" s="10"/>
      <c r="G131" s="5"/>
      <c r="H131" s="5"/>
      <c r="I131" s="5"/>
      <c r="J131" s="10"/>
      <c r="K131" s="5"/>
      <c r="L131" s="10"/>
      <c r="M131" s="5"/>
      <c r="N131" s="10"/>
      <c r="O131" s="10"/>
      <c r="P131" s="19"/>
      <c r="Q131" s="19"/>
      <c r="R131" s="10"/>
      <c r="S131" s="10"/>
      <c r="T131" s="10"/>
      <c r="U131" s="10"/>
      <c r="V131" s="19"/>
      <c r="W131" s="10"/>
    </row>
    <row r="132" customFormat="false" ht="15" hidden="false" customHeight="false" outlineLevel="0" collapsed="false">
      <c r="A132" s="18"/>
      <c r="B132" s="5"/>
      <c r="C132" s="10"/>
      <c r="D132" s="10"/>
      <c r="E132" s="10"/>
      <c r="F132" s="10"/>
      <c r="G132" s="5"/>
      <c r="H132" s="5"/>
      <c r="I132" s="5"/>
      <c r="J132" s="10"/>
      <c r="K132" s="5"/>
      <c r="L132" s="10"/>
      <c r="M132" s="5"/>
      <c r="N132" s="10"/>
      <c r="O132" s="10"/>
      <c r="P132" s="19"/>
      <c r="Q132" s="19"/>
      <c r="R132" s="10"/>
      <c r="S132" s="10"/>
      <c r="T132" s="10"/>
      <c r="U132" s="10"/>
      <c r="V132" s="19"/>
      <c r="W132" s="10"/>
    </row>
    <row r="133" customFormat="false" ht="15" hidden="false" customHeight="false" outlineLevel="0" collapsed="false">
      <c r="A133" s="18"/>
      <c r="B133" s="5"/>
      <c r="C133" s="10"/>
      <c r="D133" s="10"/>
      <c r="E133" s="10"/>
      <c r="F133" s="10"/>
      <c r="G133" s="5"/>
      <c r="H133" s="5"/>
      <c r="I133" s="5"/>
      <c r="J133" s="10"/>
      <c r="K133" s="5"/>
      <c r="L133" s="10"/>
      <c r="M133" s="5"/>
      <c r="N133" s="10"/>
      <c r="O133" s="10"/>
      <c r="P133" s="19"/>
      <c r="Q133" s="19"/>
      <c r="R133" s="10"/>
      <c r="S133" s="10"/>
      <c r="T133" s="10"/>
      <c r="U133" s="10"/>
      <c r="V133" s="19"/>
      <c r="W133" s="10"/>
    </row>
    <row r="134" customFormat="false" ht="15" hidden="false" customHeight="false" outlineLevel="0" collapsed="false">
      <c r="A134" s="18"/>
      <c r="B134" s="5"/>
      <c r="C134" s="10"/>
      <c r="D134" s="10"/>
      <c r="E134" s="10"/>
      <c r="F134" s="10"/>
      <c r="G134" s="5"/>
      <c r="H134" s="5"/>
      <c r="I134" s="5"/>
      <c r="J134" s="10"/>
      <c r="K134" s="5"/>
      <c r="L134" s="10"/>
      <c r="M134" s="5"/>
      <c r="N134" s="10"/>
      <c r="O134" s="10"/>
      <c r="P134" s="19"/>
      <c r="Q134" s="19"/>
      <c r="R134" s="10"/>
      <c r="S134" s="10"/>
      <c r="T134" s="10"/>
      <c r="U134" s="10"/>
      <c r="V134" s="19"/>
      <c r="W134" s="10"/>
    </row>
    <row r="135" customFormat="false" ht="15" hidden="false" customHeight="false" outlineLevel="0" collapsed="false">
      <c r="A135" s="18"/>
      <c r="B135" s="5"/>
      <c r="C135" s="10"/>
      <c r="D135" s="10"/>
      <c r="E135" s="10"/>
      <c r="F135" s="10"/>
      <c r="G135" s="5"/>
      <c r="H135" s="5"/>
      <c r="I135" s="5"/>
      <c r="J135" s="10"/>
      <c r="K135" s="5"/>
      <c r="L135" s="10"/>
      <c r="M135" s="5"/>
      <c r="N135" s="10"/>
      <c r="O135" s="10"/>
      <c r="P135" s="19"/>
      <c r="Q135" s="19"/>
      <c r="R135" s="10"/>
      <c r="S135" s="10"/>
      <c r="T135" s="10"/>
      <c r="U135" s="10"/>
      <c r="V135" s="19"/>
      <c r="W135" s="10"/>
    </row>
    <row r="136" customFormat="false" ht="15" hidden="false" customHeight="false" outlineLevel="0" collapsed="false">
      <c r="A136" s="18"/>
      <c r="B136" s="5"/>
      <c r="C136" s="10"/>
      <c r="D136" s="10"/>
      <c r="E136" s="10"/>
      <c r="F136" s="10"/>
      <c r="G136" s="5"/>
      <c r="H136" s="5"/>
      <c r="I136" s="5"/>
      <c r="J136" s="10"/>
      <c r="K136" s="5"/>
      <c r="L136" s="10"/>
      <c r="M136" s="5"/>
      <c r="N136" s="10"/>
      <c r="O136" s="10"/>
      <c r="P136" s="19"/>
      <c r="Q136" s="19"/>
      <c r="R136" s="10"/>
      <c r="S136" s="10"/>
      <c r="T136" s="10"/>
      <c r="U136" s="10"/>
      <c r="V136" s="19"/>
      <c r="W136" s="10"/>
    </row>
    <row r="137" customFormat="false" ht="15" hidden="false" customHeight="false" outlineLevel="0" collapsed="false">
      <c r="A137" s="18"/>
      <c r="B137" s="5"/>
      <c r="C137" s="10"/>
      <c r="D137" s="10"/>
      <c r="E137" s="10"/>
      <c r="F137" s="10"/>
      <c r="G137" s="5"/>
      <c r="H137" s="5"/>
      <c r="I137" s="5"/>
      <c r="J137" s="10"/>
      <c r="K137" s="5"/>
      <c r="L137" s="10"/>
      <c r="M137" s="5"/>
      <c r="N137" s="10"/>
      <c r="O137" s="10"/>
      <c r="P137" s="19"/>
      <c r="Q137" s="19"/>
      <c r="R137" s="10"/>
      <c r="S137" s="10"/>
      <c r="T137" s="10"/>
      <c r="U137" s="10"/>
      <c r="V137" s="19"/>
      <c r="W137" s="10"/>
    </row>
    <row r="138" customFormat="false" ht="15" hidden="false" customHeight="false" outlineLevel="0" collapsed="false">
      <c r="A138" s="18"/>
      <c r="B138" s="5"/>
      <c r="C138" s="10"/>
      <c r="D138" s="10"/>
      <c r="E138" s="10"/>
      <c r="F138" s="10"/>
      <c r="G138" s="5"/>
      <c r="H138" s="5"/>
      <c r="I138" s="5"/>
      <c r="J138" s="10"/>
      <c r="K138" s="5"/>
      <c r="L138" s="10"/>
      <c r="M138" s="5"/>
      <c r="N138" s="10"/>
      <c r="O138" s="10"/>
      <c r="P138" s="19"/>
      <c r="Q138" s="19"/>
      <c r="R138" s="10"/>
      <c r="S138" s="10"/>
      <c r="T138" s="10"/>
      <c r="U138" s="10"/>
      <c r="V138" s="19"/>
      <c r="W138" s="10"/>
    </row>
    <row r="139" customFormat="false" ht="15" hidden="false" customHeight="false" outlineLevel="0" collapsed="false">
      <c r="A139" s="18"/>
      <c r="B139" s="5"/>
      <c r="C139" s="10"/>
      <c r="D139" s="10"/>
      <c r="E139" s="10"/>
      <c r="F139" s="10"/>
      <c r="G139" s="5"/>
      <c r="H139" s="5"/>
      <c r="I139" s="5"/>
      <c r="J139" s="10"/>
      <c r="K139" s="5"/>
      <c r="L139" s="10"/>
      <c r="M139" s="5"/>
      <c r="N139" s="10"/>
      <c r="O139" s="10"/>
      <c r="P139" s="19"/>
      <c r="Q139" s="19"/>
      <c r="R139" s="10"/>
      <c r="S139" s="10"/>
      <c r="T139" s="10"/>
      <c r="U139" s="10"/>
      <c r="V139" s="19"/>
      <c r="W139" s="10"/>
    </row>
    <row r="140" customFormat="false" ht="15" hidden="false" customHeight="false" outlineLevel="0" collapsed="false">
      <c r="A140" s="18"/>
      <c r="B140" s="5"/>
      <c r="C140" s="10"/>
      <c r="D140" s="10"/>
      <c r="E140" s="10"/>
      <c r="F140" s="10"/>
      <c r="G140" s="5"/>
      <c r="H140" s="5"/>
      <c r="I140" s="5"/>
      <c r="J140" s="10"/>
      <c r="K140" s="5"/>
      <c r="L140" s="10"/>
      <c r="M140" s="5"/>
      <c r="N140" s="10"/>
      <c r="O140" s="10"/>
      <c r="P140" s="19"/>
      <c r="Q140" s="19"/>
      <c r="R140" s="10"/>
      <c r="S140" s="10"/>
      <c r="T140" s="10"/>
      <c r="U140" s="10"/>
      <c r="V140" s="19"/>
      <c r="W140" s="10"/>
    </row>
    <row r="141" customFormat="false" ht="15" hidden="false" customHeight="false" outlineLevel="0" collapsed="false">
      <c r="A141" s="18"/>
      <c r="B141" s="5"/>
      <c r="C141" s="10"/>
      <c r="D141" s="10"/>
      <c r="E141" s="10"/>
      <c r="F141" s="10"/>
      <c r="G141" s="5"/>
      <c r="H141" s="5"/>
      <c r="I141" s="5"/>
      <c r="J141" s="10"/>
      <c r="K141" s="5"/>
      <c r="L141" s="10"/>
      <c r="M141" s="5"/>
      <c r="N141" s="10"/>
      <c r="O141" s="10"/>
      <c r="P141" s="19"/>
      <c r="Q141" s="19"/>
      <c r="R141" s="10"/>
      <c r="S141" s="10"/>
      <c r="T141" s="10"/>
      <c r="U141" s="10"/>
      <c r="V141" s="19"/>
      <c r="W141" s="10"/>
    </row>
    <row r="142" customFormat="false" ht="15" hidden="false" customHeight="false" outlineLevel="0" collapsed="false">
      <c r="A142" s="18"/>
      <c r="B142" s="5"/>
      <c r="C142" s="10"/>
      <c r="D142" s="10"/>
      <c r="E142" s="10"/>
      <c r="F142" s="10"/>
      <c r="G142" s="5"/>
      <c r="H142" s="5"/>
      <c r="I142" s="5"/>
      <c r="J142" s="10"/>
      <c r="K142" s="5"/>
      <c r="L142" s="10"/>
      <c r="M142" s="5"/>
      <c r="N142" s="10"/>
      <c r="O142" s="10"/>
      <c r="P142" s="19"/>
      <c r="Q142" s="19"/>
      <c r="R142" s="10"/>
      <c r="S142" s="10"/>
      <c r="T142" s="10"/>
      <c r="U142" s="10"/>
      <c r="V142" s="19"/>
      <c r="W142" s="10"/>
    </row>
    <row r="143" customFormat="false" ht="15" hidden="false" customHeight="false" outlineLevel="0" collapsed="false">
      <c r="A143" s="18"/>
      <c r="B143" s="5"/>
      <c r="C143" s="10"/>
      <c r="D143" s="10"/>
      <c r="E143" s="10"/>
      <c r="F143" s="10"/>
      <c r="G143" s="5"/>
      <c r="H143" s="5"/>
      <c r="I143" s="5"/>
      <c r="J143" s="10"/>
      <c r="K143" s="5"/>
      <c r="L143" s="10"/>
      <c r="M143" s="5"/>
      <c r="N143" s="10"/>
      <c r="O143" s="10"/>
      <c r="P143" s="19"/>
      <c r="Q143" s="19"/>
      <c r="R143" s="10"/>
      <c r="S143" s="10"/>
      <c r="T143" s="10"/>
      <c r="U143" s="10"/>
      <c r="V143" s="19"/>
      <c r="W143" s="10"/>
    </row>
    <row r="144" customFormat="false" ht="15" hidden="false" customHeight="false" outlineLevel="0" collapsed="false">
      <c r="A144" s="18"/>
      <c r="B144" s="5"/>
      <c r="C144" s="10"/>
      <c r="D144" s="10"/>
      <c r="E144" s="10"/>
      <c r="F144" s="10"/>
      <c r="G144" s="5"/>
      <c r="H144" s="5"/>
      <c r="I144" s="5"/>
      <c r="J144" s="10"/>
      <c r="K144" s="5"/>
      <c r="L144" s="10"/>
      <c r="M144" s="5"/>
      <c r="N144" s="10"/>
      <c r="O144" s="10"/>
      <c r="P144" s="19"/>
      <c r="Q144" s="19"/>
      <c r="R144" s="10"/>
      <c r="S144" s="10"/>
      <c r="T144" s="10"/>
      <c r="U144" s="10"/>
      <c r="V144" s="19"/>
      <c r="W144" s="10"/>
    </row>
    <row r="145" customFormat="false" ht="15" hidden="false" customHeight="false" outlineLevel="0" collapsed="false">
      <c r="A145" s="18"/>
      <c r="B145" s="5"/>
      <c r="C145" s="10"/>
      <c r="D145" s="10"/>
      <c r="E145" s="10"/>
      <c r="F145" s="10"/>
      <c r="G145" s="5"/>
      <c r="H145" s="5"/>
      <c r="I145" s="5"/>
      <c r="J145" s="10"/>
      <c r="K145" s="5"/>
      <c r="L145" s="10"/>
      <c r="M145" s="5"/>
      <c r="N145" s="10"/>
      <c r="O145" s="10"/>
      <c r="P145" s="19"/>
      <c r="Q145" s="19"/>
      <c r="R145" s="10"/>
      <c r="S145" s="10"/>
      <c r="T145" s="10"/>
      <c r="U145" s="10"/>
      <c r="V145" s="19"/>
      <c r="W145" s="10"/>
    </row>
    <row r="146" customFormat="false" ht="15" hidden="false" customHeight="false" outlineLevel="0" collapsed="false">
      <c r="A146" s="18"/>
      <c r="B146" s="5"/>
      <c r="C146" s="10"/>
      <c r="D146" s="10"/>
      <c r="E146" s="10"/>
      <c r="F146" s="10"/>
      <c r="G146" s="5"/>
      <c r="H146" s="5"/>
      <c r="I146" s="5"/>
      <c r="J146" s="10"/>
      <c r="K146" s="5"/>
      <c r="L146" s="10"/>
      <c r="M146" s="5"/>
      <c r="N146" s="10"/>
      <c r="O146" s="10"/>
      <c r="P146" s="19"/>
      <c r="Q146" s="19"/>
      <c r="R146" s="10"/>
      <c r="S146" s="10"/>
      <c r="T146" s="10"/>
      <c r="U146" s="10"/>
      <c r="V146" s="19"/>
      <c r="W146" s="10"/>
    </row>
    <row r="147" customFormat="false" ht="15" hidden="false" customHeight="false" outlineLevel="0" collapsed="false">
      <c r="A147" s="18"/>
      <c r="B147" s="5"/>
      <c r="C147" s="10"/>
      <c r="D147" s="10"/>
      <c r="E147" s="10"/>
      <c r="F147" s="10"/>
      <c r="G147" s="5"/>
      <c r="H147" s="5"/>
      <c r="I147" s="5"/>
      <c r="J147" s="10"/>
      <c r="K147" s="5"/>
      <c r="L147" s="10"/>
      <c r="M147" s="5"/>
      <c r="N147" s="10"/>
      <c r="O147" s="10"/>
      <c r="P147" s="19"/>
      <c r="Q147" s="19"/>
      <c r="R147" s="10"/>
      <c r="S147" s="10"/>
      <c r="T147" s="10"/>
      <c r="U147" s="10"/>
      <c r="V147" s="19"/>
      <c r="W147" s="10"/>
    </row>
    <row r="148" customFormat="false" ht="15" hidden="false" customHeight="false" outlineLevel="0" collapsed="false">
      <c r="A148" s="18"/>
      <c r="B148" s="5"/>
      <c r="C148" s="10"/>
      <c r="D148" s="10"/>
      <c r="E148" s="10"/>
      <c r="F148" s="10"/>
      <c r="G148" s="5"/>
      <c r="H148" s="5"/>
      <c r="I148" s="5"/>
      <c r="J148" s="10"/>
      <c r="K148" s="5"/>
      <c r="L148" s="10"/>
      <c r="M148" s="5"/>
      <c r="N148" s="10"/>
      <c r="O148" s="10"/>
      <c r="P148" s="19"/>
      <c r="Q148" s="19"/>
      <c r="R148" s="10"/>
      <c r="S148" s="10"/>
      <c r="T148" s="10"/>
      <c r="U148" s="10"/>
      <c r="V148" s="19"/>
      <c r="W148" s="10"/>
    </row>
    <row r="149" customFormat="false" ht="15" hidden="false" customHeight="false" outlineLevel="0" collapsed="false">
      <c r="A149" s="18"/>
      <c r="B149" s="5"/>
      <c r="C149" s="10"/>
      <c r="D149" s="10"/>
      <c r="E149" s="10"/>
      <c r="F149" s="10"/>
      <c r="G149" s="5"/>
      <c r="H149" s="5"/>
      <c r="I149" s="5"/>
      <c r="J149" s="10"/>
      <c r="K149" s="5"/>
      <c r="L149" s="10"/>
      <c r="M149" s="5"/>
      <c r="N149" s="10"/>
      <c r="O149" s="10"/>
      <c r="P149" s="19"/>
      <c r="Q149" s="19"/>
      <c r="R149" s="10"/>
      <c r="S149" s="10"/>
      <c r="T149" s="10"/>
      <c r="U149" s="10"/>
      <c r="V149" s="19"/>
      <c r="W149" s="10"/>
    </row>
    <row r="150" customFormat="false" ht="15" hidden="false" customHeight="false" outlineLevel="0" collapsed="false">
      <c r="A150" s="18"/>
      <c r="B150" s="5"/>
      <c r="C150" s="10"/>
      <c r="D150" s="10"/>
      <c r="E150" s="10"/>
      <c r="F150" s="10"/>
      <c r="G150" s="5"/>
      <c r="H150" s="5"/>
      <c r="I150" s="5"/>
      <c r="J150" s="10"/>
      <c r="K150" s="5"/>
      <c r="L150" s="10"/>
      <c r="M150" s="5"/>
      <c r="N150" s="10"/>
      <c r="O150" s="10"/>
      <c r="P150" s="19"/>
      <c r="Q150" s="19"/>
      <c r="R150" s="10"/>
      <c r="S150" s="10"/>
      <c r="T150" s="10"/>
      <c r="U150" s="10"/>
      <c r="V150" s="19"/>
      <c r="W150" s="10"/>
    </row>
    <row r="151" customFormat="false" ht="15" hidden="false" customHeight="false" outlineLevel="0" collapsed="false">
      <c r="A151" s="18"/>
      <c r="B151" s="5"/>
      <c r="C151" s="10"/>
      <c r="D151" s="10"/>
      <c r="E151" s="10"/>
      <c r="F151" s="10"/>
      <c r="G151" s="5"/>
      <c r="H151" s="5"/>
      <c r="I151" s="5"/>
      <c r="J151" s="10"/>
      <c r="K151" s="5"/>
      <c r="L151" s="10"/>
      <c r="M151" s="5"/>
      <c r="N151" s="10"/>
      <c r="O151" s="10"/>
      <c r="P151" s="19"/>
      <c r="Q151" s="19"/>
      <c r="R151" s="10"/>
      <c r="S151" s="10"/>
      <c r="T151" s="10"/>
      <c r="U151" s="10"/>
      <c r="V151" s="19"/>
      <c r="W151" s="10"/>
    </row>
    <row r="152" customFormat="false" ht="15" hidden="false" customHeight="false" outlineLevel="0" collapsed="false">
      <c r="A152" s="18"/>
      <c r="B152" s="5"/>
      <c r="C152" s="10"/>
      <c r="D152" s="10"/>
      <c r="E152" s="10"/>
      <c r="F152" s="10"/>
      <c r="G152" s="5"/>
      <c r="H152" s="5"/>
      <c r="I152" s="5"/>
      <c r="J152" s="10"/>
      <c r="K152" s="5"/>
      <c r="L152" s="10"/>
      <c r="M152" s="5"/>
      <c r="N152" s="10"/>
      <c r="O152" s="10"/>
      <c r="P152" s="19"/>
      <c r="Q152" s="19"/>
      <c r="R152" s="10"/>
      <c r="S152" s="10"/>
      <c r="T152" s="10"/>
      <c r="U152" s="10"/>
      <c r="V152" s="19"/>
      <c r="W152" s="10"/>
    </row>
    <row r="153" customFormat="false" ht="15" hidden="false" customHeight="false" outlineLevel="0" collapsed="false">
      <c r="A153" s="18"/>
      <c r="B153" s="5"/>
      <c r="C153" s="10"/>
      <c r="D153" s="10"/>
      <c r="E153" s="10"/>
      <c r="F153" s="10"/>
      <c r="G153" s="5"/>
      <c r="H153" s="5"/>
      <c r="I153" s="5"/>
      <c r="J153" s="10"/>
      <c r="K153" s="5"/>
      <c r="L153" s="10"/>
      <c r="M153" s="5"/>
      <c r="N153" s="10"/>
      <c r="O153" s="10"/>
      <c r="P153" s="19"/>
      <c r="Q153" s="19"/>
      <c r="R153" s="10"/>
      <c r="S153" s="10"/>
      <c r="T153" s="10"/>
      <c r="U153" s="10"/>
      <c r="V153" s="19"/>
      <c r="W153" s="10"/>
    </row>
    <row r="154" customFormat="false" ht="15" hidden="false" customHeight="false" outlineLevel="0" collapsed="false">
      <c r="A154" s="18"/>
      <c r="B154" s="5"/>
      <c r="C154" s="10"/>
      <c r="D154" s="10"/>
      <c r="E154" s="10"/>
      <c r="F154" s="10"/>
      <c r="G154" s="5"/>
      <c r="H154" s="5"/>
      <c r="I154" s="5"/>
      <c r="J154" s="10"/>
      <c r="K154" s="5"/>
      <c r="L154" s="10"/>
      <c r="M154" s="5"/>
      <c r="N154" s="10"/>
      <c r="O154" s="10"/>
      <c r="P154" s="19"/>
      <c r="Q154" s="19"/>
      <c r="R154" s="10"/>
      <c r="S154" s="10"/>
      <c r="T154" s="10"/>
      <c r="U154" s="10"/>
      <c r="V154" s="19"/>
      <c r="W154" s="10"/>
    </row>
    <row r="155" customFormat="false" ht="15" hidden="false" customHeight="false" outlineLevel="0" collapsed="false">
      <c r="A155" s="18"/>
      <c r="B155" s="5"/>
      <c r="C155" s="10"/>
      <c r="D155" s="10"/>
      <c r="E155" s="10"/>
      <c r="F155" s="10"/>
      <c r="G155" s="5"/>
      <c r="H155" s="5"/>
      <c r="I155" s="5"/>
      <c r="J155" s="10"/>
      <c r="K155" s="5"/>
      <c r="L155" s="10"/>
      <c r="M155" s="5"/>
      <c r="N155" s="10"/>
      <c r="O155" s="10"/>
      <c r="P155" s="19"/>
      <c r="Q155" s="19"/>
      <c r="R155" s="10"/>
      <c r="S155" s="10"/>
      <c r="T155" s="10"/>
      <c r="U155" s="10"/>
      <c r="V155" s="19"/>
      <c r="W155" s="10"/>
    </row>
    <row r="156" customFormat="false" ht="15" hidden="false" customHeight="false" outlineLevel="0" collapsed="false">
      <c r="A156" s="18"/>
      <c r="B156" s="5"/>
      <c r="C156" s="10"/>
      <c r="D156" s="10"/>
      <c r="E156" s="10"/>
      <c r="F156" s="10"/>
      <c r="G156" s="5"/>
      <c r="H156" s="5"/>
      <c r="I156" s="5"/>
      <c r="J156" s="10"/>
      <c r="K156" s="5"/>
      <c r="L156" s="10"/>
      <c r="M156" s="5"/>
      <c r="N156" s="10"/>
      <c r="O156" s="10"/>
      <c r="P156" s="19"/>
      <c r="Q156" s="19"/>
      <c r="R156" s="10"/>
      <c r="S156" s="10"/>
      <c r="T156" s="10"/>
      <c r="U156" s="10"/>
      <c r="V156" s="19"/>
      <c r="W156" s="10"/>
    </row>
    <row r="157" customFormat="false" ht="15" hidden="false" customHeight="false" outlineLevel="0" collapsed="false">
      <c r="A157" s="18"/>
      <c r="B157" s="5"/>
      <c r="C157" s="10"/>
      <c r="D157" s="10"/>
      <c r="E157" s="10"/>
      <c r="F157" s="10"/>
      <c r="G157" s="5"/>
      <c r="H157" s="5"/>
      <c r="I157" s="5"/>
      <c r="J157" s="10"/>
      <c r="K157" s="5"/>
      <c r="L157" s="10"/>
      <c r="M157" s="5"/>
      <c r="N157" s="10"/>
      <c r="O157" s="10"/>
      <c r="P157" s="19"/>
      <c r="Q157" s="19"/>
      <c r="R157" s="10"/>
      <c r="S157" s="10"/>
      <c r="T157" s="10"/>
      <c r="U157" s="10"/>
      <c r="V157" s="19"/>
      <c r="W157" s="10"/>
    </row>
    <row r="158" customFormat="false" ht="15" hidden="false" customHeight="false" outlineLevel="0" collapsed="false">
      <c r="A158" s="18"/>
      <c r="B158" s="5"/>
      <c r="C158" s="10"/>
      <c r="D158" s="10"/>
      <c r="E158" s="10"/>
      <c r="F158" s="10"/>
      <c r="G158" s="5"/>
      <c r="H158" s="5"/>
      <c r="I158" s="5"/>
      <c r="J158" s="10"/>
      <c r="K158" s="5"/>
      <c r="L158" s="10"/>
      <c r="M158" s="5"/>
      <c r="N158" s="10"/>
      <c r="O158" s="10"/>
      <c r="P158" s="19"/>
      <c r="Q158" s="19"/>
      <c r="R158" s="10"/>
      <c r="S158" s="10"/>
      <c r="T158" s="10"/>
      <c r="U158" s="10"/>
      <c r="V158" s="19"/>
      <c r="W158" s="10"/>
    </row>
    <row r="159" customFormat="false" ht="15" hidden="false" customHeight="false" outlineLevel="0" collapsed="false">
      <c r="A159" s="18"/>
      <c r="B159" s="5"/>
      <c r="C159" s="10"/>
      <c r="D159" s="10"/>
      <c r="E159" s="10"/>
      <c r="F159" s="10"/>
      <c r="G159" s="5"/>
      <c r="H159" s="5"/>
      <c r="I159" s="5"/>
      <c r="J159" s="10"/>
      <c r="K159" s="5"/>
      <c r="L159" s="10"/>
      <c r="M159" s="5"/>
      <c r="N159" s="10"/>
      <c r="O159" s="10"/>
      <c r="P159" s="19"/>
      <c r="Q159" s="19"/>
      <c r="R159" s="10"/>
      <c r="S159" s="10"/>
      <c r="T159" s="10"/>
      <c r="U159" s="10"/>
      <c r="V159" s="19"/>
      <c r="W159" s="10"/>
    </row>
    <row r="160" customFormat="false" ht="15" hidden="false" customHeight="false" outlineLevel="0" collapsed="false">
      <c r="A160" s="18"/>
      <c r="B160" s="5"/>
      <c r="C160" s="10"/>
      <c r="D160" s="10"/>
      <c r="E160" s="10"/>
      <c r="F160" s="10"/>
      <c r="G160" s="5"/>
      <c r="H160" s="5"/>
      <c r="I160" s="5"/>
      <c r="J160" s="10"/>
      <c r="K160" s="5"/>
      <c r="L160" s="10"/>
      <c r="M160" s="5"/>
      <c r="N160" s="10"/>
      <c r="O160" s="10"/>
      <c r="P160" s="19"/>
      <c r="Q160" s="19"/>
      <c r="R160" s="10"/>
      <c r="S160" s="10"/>
      <c r="T160" s="10"/>
      <c r="U160" s="10"/>
      <c r="V160" s="19"/>
      <c r="W160" s="10"/>
    </row>
    <row r="161" customFormat="false" ht="15" hidden="false" customHeight="false" outlineLevel="0" collapsed="false">
      <c r="A161" s="18"/>
      <c r="B161" s="5"/>
      <c r="C161" s="10"/>
      <c r="D161" s="10"/>
      <c r="E161" s="10"/>
      <c r="F161" s="10"/>
      <c r="G161" s="5"/>
      <c r="H161" s="5"/>
      <c r="I161" s="5"/>
      <c r="J161" s="10"/>
      <c r="K161" s="5"/>
      <c r="L161" s="10"/>
      <c r="M161" s="5"/>
      <c r="N161" s="10"/>
      <c r="O161" s="10"/>
      <c r="P161" s="19"/>
      <c r="Q161" s="19"/>
      <c r="R161" s="10"/>
      <c r="S161" s="10"/>
      <c r="T161" s="10"/>
      <c r="U161" s="10"/>
      <c r="V161" s="19"/>
      <c r="W161" s="10"/>
    </row>
    <row r="162" customFormat="false" ht="15" hidden="false" customHeight="false" outlineLevel="0" collapsed="false">
      <c r="A162" s="18"/>
      <c r="B162" s="5"/>
      <c r="C162" s="10"/>
      <c r="D162" s="10"/>
      <c r="E162" s="10"/>
      <c r="F162" s="10"/>
      <c r="G162" s="5"/>
      <c r="H162" s="5"/>
      <c r="I162" s="5"/>
      <c r="J162" s="10"/>
      <c r="K162" s="5"/>
      <c r="L162" s="10"/>
      <c r="M162" s="5"/>
      <c r="N162" s="10"/>
      <c r="O162" s="10"/>
      <c r="P162" s="19"/>
      <c r="Q162" s="19"/>
      <c r="R162" s="10"/>
      <c r="S162" s="10"/>
      <c r="T162" s="10"/>
      <c r="U162" s="10"/>
      <c r="V162" s="19"/>
      <c r="W162" s="10"/>
    </row>
    <row r="163" customFormat="false" ht="15" hidden="false" customHeight="false" outlineLevel="0" collapsed="false">
      <c r="A163" s="18"/>
      <c r="B163" s="5"/>
      <c r="C163" s="10"/>
      <c r="D163" s="10"/>
      <c r="E163" s="10"/>
      <c r="F163" s="10"/>
      <c r="G163" s="5"/>
      <c r="H163" s="5"/>
      <c r="I163" s="5"/>
      <c r="J163" s="10"/>
      <c r="K163" s="5"/>
      <c r="L163" s="10"/>
      <c r="M163" s="5"/>
      <c r="N163" s="10"/>
      <c r="O163" s="10"/>
      <c r="P163" s="19"/>
      <c r="Q163" s="19"/>
      <c r="R163" s="10"/>
      <c r="S163" s="10"/>
      <c r="T163" s="10"/>
      <c r="U163" s="10"/>
      <c r="V163" s="19"/>
      <c r="W163" s="10"/>
    </row>
    <row r="164" customFormat="false" ht="15" hidden="false" customHeight="false" outlineLevel="0" collapsed="false">
      <c r="A164" s="18"/>
      <c r="B164" s="5"/>
      <c r="C164" s="10"/>
      <c r="D164" s="10"/>
      <c r="E164" s="10"/>
      <c r="F164" s="10"/>
      <c r="G164" s="5"/>
      <c r="H164" s="5"/>
      <c r="I164" s="5"/>
      <c r="J164" s="10"/>
      <c r="K164" s="5"/>
      <c r="L164" s="10"/>
      <c r="M164" s="5"/>
      <c r="N164" s="10"/>
      <c r="O164" s="10"/>
      <c r="P164" s="19"/>
      <c r="Q164" s="19"/>
      <c r="R164" s="10"/>
      <c r="S164" s="10"/>
      <c r="T164" s="10"/>
      <c r="U164" s="10"/>
      <c r="V164" s="19"/>
      <c r="W164" s="10"/>
    </row>
    <row r="165" customFormat="false" ht="15" hidden="false" customHeight="false" outlineLevel="0" collapsed="false">
      <c r="A165" s="18"/>
      <c r="B165" s="5"/>
      <c r="C165" s="10"/>
      <c r="D165" s="10"/>
      <c r="E165" s="10"/>
      <c r="F165" s="10"/>
      <c r="G165" s="5"/>
      <c r="H165" s="5"/>
      <c r="I165" s="5"/>
      <c r="J165" s="10"/>
      <c r="K165" s="5"/>
      <c r="L165" s="10"/>
      <c r="M165" s="5"/>
      <c r="N165" s="10"/>
      <c r="O165" s="10"/>
      <c r="P165" s="19"/>
      <c r="Q165" s="19"/>
      <c r="R165" s="10"/>
      <c r="S165" s="10"/>
      <c r="T165" s="10"/>
      <c r="U165" s="10"/>
      <c r="V165" s="19"/>
      <c r="W165" s="10"/>
    </row>
    <row r="166" customFormat="false" ht="15" hidden="false" customHeight="false" outlineLevel="0" collapsed="false">
      <c r="A166" s="18"/>
      <c r="B166" s="5"/>
      <c r="C166" s="10"/>
      <c r="D166" s="10"/>
      <c r="E166" s="10"/>
      <c r="F166" s="10"/>
      <c r="G166" s="5"/>
      <c r="H166" s="5"/>
      <c r="I166" s="5"/>
      <c r="J166" s="10"/>
      <c r="K166" s="5"/>
      <c r="L166" s="10"/>
      <c r="M166" s="5"/>
      <c r="N166" s="10"/>
      <c r="O166" s="10"/>
      <c r="P166" s="19"/>
      <c r="Q166" s="19"/>
      <c r="R166" s="10"/>
      <c r="S166" s="10"/>
      <c r="T166" s="10"/>
      <c r="U166" s="10"/>
      <c r="V166" s="19"/>
      <c r="W166" s="10"/>
    </row>
    <row r="167" customFormat="false" ht="15" hidden="false" customHeight="false" outlineLevel="0" collapsed="false">
      <c r="A167" s="18"/>
      <c r="B167" s="5"/>
      <c r="C167" s="10"/>
      <c r="D167" s="10"/>
      <c r="E167" s="10"/>
      <c r="F167" s="10"/>
      <c r="G167" s="5"/>
      <c r="H167" s="5"/>
      <c r="I167" s="5"/>
      <c r="J167" s="10"/>
      <c r="K167" s="5"/>
      <c r="L167" s="10"/>
      <c r="M167" s="5"/>
      <c r="N167" s="10"/>
      <c r="O167" s="10"/>
      <c r="P167" s="19"/>
      <c r="Q167" s="19"/>
      <c r="R167" s="10"/>
      <c r="S167" s="10"/>
      <c r="T167" s="10"/>
      <c r="U167" s="10"/>
      <c r="V167" s="19"/>
      <c r="W167" s="10"/>
    </row>
    <row r="168" customFormat="false" ht="15" hidden="false" customHeight="false" outlineLevel="0" collapsed="false">
      <c r="A168" s="18"/>
      <c r="B168" s="5"/>
      <c r="C168" s="10"/>
      <c r="D168" s="10"/>
      <c r="E168" s="10"/>
      <c r="F168" s="10"/>
      <c r="G168" s="5"/>
      <c r="H168" s="5"/>
      <c r="I168" s="5"/>
      <c r="J168" s="10"/>
      <c r="K168" s="5"/>
      <c r="L168" s="10"/>
      <c r="M168" s="5"/>
      <c r="N168" s="10"/>
      <c r="O168" s="10"/>
      <c r="P168" s="19"/>
      <c r="Q168" s="19"/>
      <c r="R168" s="10"/>
      <c r="S168" s="10"/>
      <c r="T168" s="10"/>
      <c r="U168" s="10"/>
      <c r="V168" s="19"/>
      <c r="W168" s="10"/>
    </row>
    <row r="169" customFormat="false" ht="15" hidden="false" customHeight="false" outlineLevel="0" collapsed="false">
      <c r="A169" s="18"/>
      <c r="B169" s="5"/>
      <c r="C169" s="10"/>
      <c r="D169" s="10"/>
      <c r="E169" s="10"/>
      <c r="F169" s="10"/>
      <c r="G169" s="5"/>
      <c r="H169" s="5"/>
      <c r="I169" s="5"/>
      <c r="J169" s="10"/>
      <c r="K169" s="5"/>
      <c r="L169" s="10"/>
      <c r="M169" s="5"/>
      <c r="N169" s="10"/>
      <c r="O169" s="10"/>
      <c r="P169" s="19"/>
      <c r="Q169" s="19"/>
      <c r="R169" s="10"/>
      <c r="S169" s="10"/>
      <c r="T169" s="10"/>
      <c r="U169" s="10"/>
      <c r="V169" s="19"/>
      <c r="W169" s="10"/>
    </row>
    <row r="170" customFormat="false" ht="15" hidden="false" customHeight="false" outlineLevel="0" collapsed="false">
      <c r="A170" s="18"/>
      <c r="B170" s="5"/>
      <c r="C170" s="10"/>
      <c r="D170" s="10"/>
      <c r="E170" s="10"/>
      <c r="F170" s="10"/>
      <c r="G170" s="5"/>
      <c r="H170" s="5"/>
      <c r="I170" s="5"/>
      <c r="J170" s="10"/>
      <c r="K170" s="5"/>
      <c r="L170" s="10"/>
      <c r="M170" s="5"/>
      <c r="N170" s="10"/>
      <c r="O170" s="10"/>
      <c r="P170" s="19"/>
      <c r="Q170" s="19"/>
      <c r="R170" s="10"/>
      <c r="S170" s="10"/>
      <c r="T170" s="10"/>
      <c r="U170" s="10"/>
      <c r="V170" s="19"/>
      <c r="W170" s="10"/>
    </row>
    <row r="171" customFormat="false" ht="15" hidden="false" customHeight="false" outlineLevel="0" collapsed="false">
      <c r="A171" s="18"/>
      <c r="B171" s="5"/>
      <c r="C171" s="10"/>
      <c r="D171" s="10"/>
      <c r="E171" s="10"/>
      <c r="F171" s="10"/>
      <c r="G171" s="5"/>
      <c r="H171" s="5"/>
      <c r="I171" s="5"/>
      <c r="J171" s="10"/>
      <c r="K171" s="5"/>
      <c r="L171" s="10"/>
      <c r="M171" s="5"/>
      <c r="N171" s="10"/>
      <c r="O171" s="10"/>
      <c r="P171" s="19"/>
      <c r="Q171" s="19"/>
      <c r="R171" s="10"/>
      <c r="S171" s="10"/>
      <c r="T171" s="10"/>
      <c r="U171" s="10"/>
      <c r="V171" s="19"/>
      <c r="W171" s="10"/>
    </row>
    <row r="172" customFormat="false" ht="15" hidden="false" customHeight="false" outlineLevel="0" collapsed="false">
      <c r="A172" s="18"/>
      <c r="B172" s="5"/>
      <c r="C172" s="10"/>
      <c r="D172" s="10"/>
      <c r="E172" s="10"/>
      <c r="F172" s="10"/>
      <c r="G172" s="5"/>
      <c r="H172" s="5"/>
      <c r="I172" s="5"/>
      <c r="J172" s="10"/>
      <c r="K172" s="5"/>
      <c r="L172" s="10"/>
      <c r="M172" s="5"/>
      <c r="N172" s="10"/>
      <c r="O172" s="10"/>
      <c r="P172" s="19"/>
      <c r="Q172" s="19"/>
      <c r="R172" s="10"/>
      <c r="S172" s="10"/>
      <c r="T172" s="10"/>
      <c r="U172" s="10"/>
      <c r="V172" s="19"/>
      <c r="W172" s="10"/>
    </row>
    <row r="173" customFormat="false" ht="15" hidden="false" customHeight="false" outlineLevel="0" collapsed="false">
      <c r="A173" s="18"/>
      <c r="B173" s="5"/>
      <c r="C173" s="10"/>
      <c r="D173" s="10"/>
      <c r="E173" s="10"/>
      <c r="F173" s="10"/>
      <c r="G173" s="5"/>
      <c r="H173" s="5"/>
      <c r="I173" s="5"/>
      <c r="J173" s="10"/>
      <c r="K173" s="5"/>
      <c r="L173" s="10"/>
      <c r="M173" s="5"/>
      <c r="N173" s="10"/>
      <c r="O173" s="10"/>
      <c r="P173" s="19"/>
      <c r="Q173" s="19"/>
      <c r="R173" s="10"/>
      <c r="S173" s="10"/>
      <c r="T173" s="10"/>
      <c r="U173" s="10"/>
      <c r="V173" s="19"/>
      <c r="W173" s="10"/>
    </row>
    <row r="174" customFormat="false" ht="15" hidden="false" customHeight="false" outlineLevel="0" collapsed="false">
      <c r="A174" s="18"/>
      <c r="B174" s="5"/>
      <c r="C174" s="10"/>
      <c r="D174" s="10"/>
      <c r="E174" s="10"/>
      <c r="F174" s="10"/>
      <c r="G174" s="5"/>
      <c r="H174" s="5"/>
      <c r="I174" s="5"/>
      <c r="J174" s="10"/>
      <c r="K174" s="5"/>
      <c r="L174" s="10"/>
      <c r="M174" s="5"/>
      <c r="N174" s="10"/>
      <c r="O174" s="10"/>
      <c r="P174" s="19"/>
      <c r="Q174" s="19"/>
      <c r="R174" s="10"/>
      <c r="S174" s="10"/>
      <c r="T174" s="10"/>
      <c r="U174" s="10"/>
      <c r="V174" s="19"/>
      <c r="W174" s="10"/>
    </row>
    <row r="175" customFormat="false" ht="15" hidden="false" customHeight="false" outlineLevel="0" collapsed="false">
      <c r="A175" s="18"/>
      <c r="B175" s="5"/>
      <c r="C175" s="10"/>
      <c r="D175" s="10"/>
      <c r="E175" s="10"/>
      <c r="F175" s="10"/>
      <c r="G175" s="5"/>
      <c r="H175" s="5"/>
      <c r="I175" s="5"/>
      <c r="J175" s="10"/>
      <c r="K175" s="5"/>
      <c r="L175" s="10"/>
      <c r="M175" s="5"/>
      <c r="N175" s="10"/>
      <c r="O175" s="10"/>
      <c r="P175" s="19"/>
      <c r="Q175" s="19"/>
      <c r="R175" s="10"/>
      <c r="S175" s="10"/>
      <c r="T175" s="10"/>
      <c r="U175" s="10"/>
      <c r="V175" s="19"/>
      <c r="W175" s="10"/>
    </row>
    <row r="176" customFormat="false" ht="15" hidden="false" customHeight="false" outlineLevel="0" collapsed="false">
      <c r="A176" s="18"/>
      <c r="B176" s="5"/>
      <c r="C176" s="10"/>
      <c r="D176" s="10"/>
      <c r="E176" s="10"/>
      <c r="F176" s="10"/>
      <c r="G176" s="5"/>
      <c r="H176" s="5"/>
      <c r="I176" s="5"/>
      <c r="J176" s="10"/>
      <c r="K176" s="5"/>
      <c r="L176" s="10"/>
      <c r="M176" s="5"/>
      <c r="N176" s="10"/>
      <c r="O176" s="10"/>
      <c r="P176" s="19"/>
      <c r="Q176" s="19"/>
      <c r="R176" s="10"/>
      <c r="S176" s="10"/>
      <c r="T176" s="10"/>
      <c r="U176" s="10"/>
      <c r="V176" s="19"/>
      <c r="W176" s="10"/>
    </row>
    <row r="177" customFormat="false" ht="15" hidden="false" customHeight="false" outlineLevel="0" collapsed="false">
      <c r="A177" s="18"/>
      <c r="B177" s="5"/>
      <c r="C177" s="10"/>
      <c r="D177" s="10"/>
      <c r="E177" s="10"/>
      <c r="F177" s="10"/>
      <c r="G177" s="5"/>
      <c r="H177" s="5"/>
      <c r="I177" s="5"/>
      <c r="J177" s="10"/>
      <c r="K177" s="5"/>
      <c r="L177" s="10"/>
      <c r="M177" s="5"/>
      <c r="N177" s="10"/>
      <c r="O177" s="10"/>
      <c r="P177" s="19"/>
      <c r="Q177" s="19"/>
      <c r="R177" s="10"/>
      <c r="S177" s="10"/>
      <c r="T177" s="10"/>
      <c r="U177" s="10"/>
      <c r="V177" s="19"/>
      <c r="W177" s="10"/>
    </row>
    <row r="178" customFormat="false" ht="15" hidden="false" customHeight="false" outlineLevel="0" collapsed="false">
      <c r="A178" s="18"/>
      <c r="B178" s="5"/>
      <c r="C178" s="10"/>
      <c r="D178" s="10"/>
      <c r="E178" s="10"/>
      <c r="F178" s="10"/>
      <c r="G178" s="5"/>
      <c r="H178" s="5"/>
      <c r="I178" s="5"/>
      <c r="J178" s="10"/>
      <c r="K178" s="5"/>
      <c r="L178" s="10"/>
      <c r="M178" s="5"/>
      <c r="N178" s="10"/>
      <c r="O178" s="10"/>
      <c r="P178" s="19"/>
      <c r="Q178" s="19"/>
      <c r="R178" s="10"/>
      <c r="S178" s="10"/>
      <c r="T178" s="10"/>
      <c r="U178" s="10"/>
      <c r="V178" s="19"/>
      <c r="W178" s="10"/>
    </row>
    <row r="179" customFormat="false" ht="15" hidden="false" customHeight="false" outlineLevel="0" collapsed="false">
      <c r="A179" s="18"/>
      <c r="B179" s="5"/>
      <c r="C179" s="10"/>
      <c r="D179" s="10"/>
      <c r="E179" s="10"/>
      <c r="F179" s="10"/>
      <c r="G179" s="5"/>
      <c r="H179" s="5"/>
      <c r="I179" s="5"/>
      <c r="J179" s="10"/>
      <c r="K179" s="5"/>
      <c r="L179" s="10"/>
      <c r="M179" s="5"/>
      <c r="N179" s="10"/>
      <c r="O179" s="10"/>
      <c r="P179" s="19"/>
      <c r="Q179" s="19"/>
      <c r="R179" s="10"/>
      <c r="S179" s="10"/>
      <c r="T179" s="10"/>
      <c r="U179" s="10"/>
      <c r="V179" s="19"/>
      <c r="W179" s="10"/>
    </row>
    <row r="180" customFormat="false" ht="15" hidden="false" customHeight="false" outlineLevel="0" collapsed="false">
      <c r="A180" s="18"/>
      <c r="B180" s="5"/>
      <c r="C180" s="10"/>
      <c r="D180" s="10"/>
      <c r="E180" s="10"/>
      <c r="F180" s="10"/>
      <c r="G180" s="5"/>
      <c r="H180" s="5"/>
      <c r="I180" s="5"/>
      <c r="J180" s="10"/>
      <c r="K180" s="5"/>
      <c r="L180" s="10"/>
      <c r="M180" s="5"/>
      <c r="N180" s="10"/>
      <c r="O180" s="10"/>
      <c r="P180" s="19"/>
      <c r="Q180" s="19"/>
      <c r="R180" s="10"/>
      <c r="S180" s="10"/>
      <c r="T180" s="10"/>
      <c r="U180" s="10"/>
      <c r="V180" s="19"/>
      <c r="W180" s="10"/>
    </row>
    <row r="181" customFormat="false" ht="15" hidden="false" customHeight="false" outlineLevel="0" collapsed="false">
      <c r="A181" s="18"/>
      <c r="B181" s="5"/>
      <c r="C181" s="10"/>
      <c r="D181" s="10"/>
      <c r="E181" s="10"/>
      <c r="F181" s="10"/>
      <c r="G181" s="5"/>
      <c r="H181" s="5"/>
      <c r="I181" s="5"/>
      <c r="J181" s="10"/>
      <c r="K181" s="5"/>
      <c r="L181" s="10"/>
      <c r="M181" s="5"/>
      <c r="N181" s="10"/>
      <c r="O181" s="10"/>
      <c r="P181" s="19"/>
      <c r="Q181" s="19"/>
      <c r="R181" s="10"/>
      <c r="S181" s="10"/>
      <c r="T181" s="10"/>
      <c r="U181" s="10"/>
      <c r="V181" s="19"/>
      <c r="W181" s="10"/>
    </row>
    <row r="182" customFormat="false" ht="15" hidden="false" customHeight="false" outlineLevel="0" collapsed="false">
      <c r="A182" s="18"/>
      <c r="B182" s="5"/>
      <c r="C182" s="10"/>
      <c r="D182" s="10"/>
      <c r="E182" s="10"/>
      <c r="F182" s="10"/>
      <c r="G182" s="5"/>
      <c r="H182" s="5"/>
      <c r="I182" s="5"/>
      <c r="J182" s="10"/>
      <c r="K182" s="5"/>
      <c r="L182" s="10"/>
      <c r="M182" s="5"/>
      <c r="N182" s="10"/>
      <c r="O182" s="10"/>
      <c r="P182" s="19"/>
      <c r="Q182" s="19"/>
      <c r="R182" s="10"/>
      <c r="S182" s="10"/>
      <c r="T182" s="10"/>
      <c r="U182" s="10"/>
      <c r="V182" s="19"/>
      <c r="W182" s="10"/>
    </row>
    <row r="183" customFormat="false" ht="15" hidden="false" customHeight="false" outlineLevel="0" collapsed="false">
      <c r="A183" s="18"/>
      <c r="B183" s="5"/>
      <c r="C183" s="10"/>
      <c r="D183" s="10"/>
      <c r="E183" s="10"/>
      <c r="F183" s="10"/>
      <c r="G183" s="5"/>
      <c r="H183" s="5"/>
      <c r="I183" s="5"/>
      <c r="J183" s="10"/>
      <c r="K183" s="5"/>
      <c r="L183" s="10"/>
      <c r="M183" s="5"/>
      <c r="N183" s="10"/>
      <c r="O183" s="10"/>
      <c r="P183" s="19"/>
      <c r="Q183" s="19"/>
      <c r="R183" s="10"/>
      <c r="S183" s="10"/>
      <c r="T183" s="10"/>
      <c r="U183" s="10"/>
      <c r="V183" s="19"/>
      <c r="W183" s="10"/>
    </row>
    <row r="184" customFormat="false" ht="15" hidden="false" customHeight="false" outlineLevel="0" collapsed="false">
      <c r="A184" s="18"/>
      <c r="B184" s="5"/>
      <c r="C184" s="10"/>
      <c r="D184" s="10"/>
      <c r="E184" s="10"/>
      <c r="F184" s="10"/>
      <c r="G184" s="5"/>
      <c r="H184" s="5"/>
      <c r="I184" s="5"/>
      <c r="J184" s="10"/>
      <c r="K184" s="5"/>
      <c r="L184" s="10"/>
      <c r="M184" s="5"/>
      <c r="N184" s="10"/>
      <c r="O184" s="10"/>
      <c r="P184" s="19"/>
      <c r="Q184" s="19"/>
      <c r="R184" s="10"/>
      <c r="S184" s="10"/>
      <c r="T184" s="10"/>
      <c r="U184" s="10"/>
      <c r="V184" s="19"/>
      <c r="W184" s="10"/>
    </row>
    <row r="185" customFormat="false" ht="15" hidden="false" customHeight="false" outlineLevel="0" collapsed="false">
      <c r="A185" s="18"/>
      <c r="B185" s="5"/>
      <c r="C185" s="10"/>
      <c r="D185" s="10"/>
      <c r="E185" s="10"/>
      <c r="F185" s="10"/>
      <c r="G185" s="5"/>
      <c r="H185" s="5"/>
      <c r="I185" s="5"/>
      <c r="J185" s="10"/>
      <c r="K185" s="5"/>
      <c r="L185" s="10"/>
      <c r="M185" s="5"/>
      <c r="N185" s="10"/>
      <c r="O185" s="10"/>
      <c r="P185" s="19"/>
      <c r="Q185" s="19"/>
      <c r="R185" s="10"/>
      <c r="S185" s="10"/>
      <c r="T185" s="10"/>
      <c r="U185" s="10"/>
      <c r="V185" s="19"/>
      <c r="W185" s="10"/>
    </row>
    <row r="186" customFormat="false" ht="15" hidden="false" customHeight="false" outlineLevel="0" collapsed="false">
      <c r="A186" s="18"/>
      <c r="B186" s="5"/>
      <c r="C186" s="10"/>
      <c r="D186" s="10"/>
      <c r="E186" s="10"/>
      <c r="F186" s="10"/>
      <c r="G186" s="5"/>
      <c r="H186" s="5"/>
      <c r="I186" s="5"/>
      <c r="J186" s="10"/>
      <c r="K186" s="5"/>
      <c r="L186" s="10"/>
      <c r="M186" s="5"/>
      <c r="N186" s="10"/>
      <c r="O186" s="10"/>
      <c r="P186" s="19"/>
      <c r="Q186" s="19"/>
      <c r="R186" s="10"/>
      <c r="S186" s="10"/>
      <c r="T186" s="10"/>
      <c r="U186" s="10"/>
      <c r="V186" s="19"/>
      <c r="W186" s="10"/>
    </row>
    <row r="187" customFormat="false" ht="15" hidden="false" customHeight="false" outlineLevel="0" collapsed="false">
      <c r="A187" s="18"/>
      <c r="B187" s="5"/>
      <c r="C187" s="10"/>
      <c r="D187" s="10"/>
      <c r="E187" s="10"/>
      <c r="F187" s="10"/>
      <c r="G187" s="5"/>
      <c r="H187" s="5"/>
      <c r="I187" s="5"/>
      <c r="J187" s="10"/>
      <c r="K187" s="5"/>
      <c r="L187" s="10"/>
      <c r="M187" s="5"/>
      <c r="N187" s="10"/>
      <c r="O187" s="10"/>
      <c r="P187" s="19"/>
      <c r="Q187" s="19"/>
      <c r="R187" s="10"/>
      <c r="S187" s="10"/>
      <c r="T187" s="10"/>
      <c r="U187" s="10"/>
      <c r="V187" s="19"/>
      <c r="W187" s="10"/>
    </row>
    <row r="188" customFormat="false" ht="15" hidden="false" customHeight="false" outlineLevel="0" collapsed="false">
      <c r="A188" s="18"/>
      <c r="B188" s="5"/>
      <c r="C188" s="10"/>
      <c r="D188" s="10"/>
      <c r="E188" s="10"/>
      <c r="F188" s="10"/>
      <c r="G188" s="5"/>
      <c r="H188" s="5"/>
      <c r="I188" s="5"/>
      <c r="J188" s="10"/>
      <c r="K188" s="5"/>
      <c r="L188" s="10"/>
      <c r="M188" s="5"/>
      <c r="N188" s="10"/>
      <c r="O188" s="10"/>
      <c r="P188" s="19"/>
      <c r="Q188" s="19"/>
      <c r="R188" s="10"/>
      <c r="S188" s="10"/>
      <c r="T188" s="10"/>
      <c r="U188" s="10"/>
      <c r="V188" s="19"/>
      <c r="W188" s="10"/>
    </row>
    <row r="189" customFormat="false" ht="15" hidden="false" customHeight="false" outlineLevel="0" collapsed="false">
      <c r="A189" s="18"/>
      <c r="B189" s="5"/>
      <c r="C189" s="10"/>
      <c r="D189" s="10"/>
      <c r="E189" s="10"/>
      <c r="F189" s="10"/>
      <c r="G189" s="5"/>
      <c r="H189" s="5"/>
      <c r="I189" s="5"/>
      <c r="J189" s="10"/>
      <c r="K189" s="5"/>
      <c r="L189" s="10"/>
      <c r="M189" s="5"/>
      <c r="N189" s="10"/>
      <c r="O189" s="10"/>
      <c r="P189" s="19"/>
      <c r="Q189" s="19"/>
      <c r="R189" s="10"/>
      <c r="S189" s="10"/>
      <c r="T189" s="10"/>
      <c r="U189" s="10"/>
      <c r="V189" s="19"/>
      <c r="W189" s="10"/>
    </row>
    <row r="190" customFormat="false" ht="15" hidden="false" customHeight="false" outlineLevel="0" collapsed="false">
      <c r="A190" s="18"/>
      <c r="B190" s="5"/>
      <c r="C190" s="10"/>
      <c r="D190" s="10"/>
      <c r="E190" s="10"/>
      <c r="F190" s="10"/>
      <c r="G190" s="5"/>
      <c r="H190" s="5"/>
      <c r="I190" s="5"/>
      <c r="J190" s="10"/>
      <c r="K190" s="5"/>
      <c r="L190" s="10"/>
      <c r="M190" s="5"/>
      <c r="N190" s="10"/>
      <c r="O190" s="10"/>
      <c r="P190" s="19"/>
      <c r="Q190" s="19"/>
      <c r="R190" s="10"/>
      <c r="S190" s="10"/>
      <c r="T190" s="10"/>
      <c r="U190" s="10"/>
      <c r="V190" s="19"/>
      <c r="W190" s="10"/>
    </row>
    <row r="191" customFormat="false" ht="15" hidden="false" customHeight="false" outlineLevel="0" collapsed="false">
      <c r="A191" s="18"/>
      <c r="B191" s="5"/>
      <c r="C191" s="10"/>
      <c r="D191" s="10"/>
      <c r="E191" s="10"/>
      <c r="F191" s="10"/>
      <c r="G191" s="5"/>
      <c r="H191" s="5"/>
      <c r="I191" s="5"/>
      <c r="J191" s="10"/>
      <c r="K191" s="5"/>
      <c r="L191" s="10"/>
      <c r="M191" s="5"/>
      <c r="N191" s="10"/>
      <c r="O191" s="10"/>
      <c r="P191" s="19"/>
      <c r="Q191" s="19"/>
      <c r="R191" s="10"/>
      <c r="S191" s="10"/>
      <c r="T191" s="10"/>
      <c r="U191" s="10"/>
      <c r="V191" s="19"/>
      <c r="W191" s="10"/>
    </row>
    <row r="192" customFormat="false" ht="15" hidden="false" customHeight="false" outlineLevel="0" collapsed="false">
      <c r="A192" s="18"/>
      <c r="B192" s="5"/>
      <c r="C192" s="10"/>
      <c r="D192" s="10"/>
      <c r="E192" s="10"/>
      <c r="F192" s="10"/>
      <c r="G192" s="5"/>
      <c r="H192" s="5"/>
      <c r="I192" s="5"/>
      <c r="J192" s="10"/>
      <c r="K192" s="5"/>
      <c r="L192" s="10"/>
      <c r="M192" s="5"/>
      <c r="N192" s="10"/>
      <c r="O192" s="10"/>
      <c r="P192" s="19"/>
      <c r="Q192" s="19"/>
      <c r="R192" s="10"/>
      <c r="S192" s="10"/>
      <c r="T192" s="10"/>
      <c r="U192" s="10"/>
      <c r="V192" s="19"/>
      <c r="W192" s="10"/>
    </row>
    <row r="193" customFormat="false" ht="15" hidden="false" customHeight="false" outlineLevel="0" collapsed="false">
      <c r="A193" s="18"/>
      <c r="B193" s="5"/>
      <c r="C193" s="10"/>
      <c r="D193" s="10"/>
      <c r="E193" s="10"/>
      <c r="F193" s="10"/>
      <c r="G193" s="5"/>
      <c r="H193" s="5"/>
      <c r="I193" s="5"/>
      <c r="J193" s="10"/>
      <c r="K193" s="5"/>
      <c r="L193" s="10"/>
      <c r="M193" s="5"/>
      <c r="N193" s="10"/>
      <c r="O193" s="10"/>
      <c r="P193" s="19"/>
      <c r="Q193" s="19"/>
      <c r="R193" s="10"/>
      <c r="S193" s="10"/>
      <c r="T193" s="10"/>
      <c r="U193" s="10"/>
      <c r="V193" s="19"/>
      <c r="W193" s="10"/>
    </row>
    <row r="194" customFormat="false" ht="15" hidden="false" customHeight="false" outlineLevel="0" collapsed="false">
      <c r="A194" s="18"/>
      <c r="B194" s="5"/>
      <c r="C194" s="10"/>
      <c r="D194" s="10"/>
      <c r="E194" s="10"/>
      <c r="F194" s="10"/>
      <c r="G194" s="5"/>
      <c r="H194" s="5"/>
      <c r="I194" s="5"/>
      <c r="J194" s="10"/>
      <c r="K194" s="5"/>
      <c r="L194" s="10"/>
      <c r="M194" s="5"/>
      <c r="N194" s="10"/>
      <c r="O194" s="10"/>
      <c r="P194" s="19"/>
      <c r="Q194" s="19"/>
      <c r="R194" s="10"/>
      <c r="S194" s="10"/>
      <c r="T194" s="10"/>
      <c r="U194" s="10"/>
      <c r="V194" s="19"/>
      <c r="W194" s="10"/>
    </row>
    <row r="195" customFormat="false" ht="15" hidden="false" customHeight="false" outlineLevel="0" collapsed="false">
      <c r="A195" s="18"/>
      <c r="B195" s="5"/>
      <c r="C195" s="10"/>
      <c r="D195" s="10"/>
      <c r="E195" s="10"/>
      <c r="F195" s="10"/>
      <c r="G195" s="5"/>
      <c r="H195" s="5"/>
      <c r="I195" s="5"/>
      <c r="J195" s="10"/>
      <c r="K195" s="5"/>
      <c r="L195" s="10"/>
      <c r="M195" s="5"/>
      <c r="N195" s="10"/>
      <c r="O195" s="10"/>
      <c r="P195" s="19"/>
      <c r="Q195" s="19"/>
      <c r="R195" s="10"/>
      <c r="S195" s="10"/>
      <c r="T195" s="10"/>
      <c r="U195" s="10"/>
      <c r="V195" s="19"/>
      <c r="W195" s="10"/>
    </row>
    <row r="196" customFormat="false" ht="15" hidden="false" customHeight="false" outlineLevel="0" collapsed="false">
      <c r="A196" s="18"/>
      <c r="B196" s="5"/>
      <c r="C196" s="10"/>
      <c r="D196" s="10"/>
      <c r="E196" s="10"/>
      <c r="F196" s="10"/>
      <c r="G196" s="5"/>
      <c r="H196" s="5"/>
      <c r="I196" s="5"/>
      <c r="J196" s="10"/>
      <c r="K196" s="5"/>
      <c r="L196" s="10"/>
      <c r="M196" s="5"/>
      <c r="N196" s="10"/>
      <c r="O196" s="10"/>
      <c r="P196" s="19"/>
      <c r="Q196" s="19"/>
      <c r="R196" s="10"/>
      <c r="S196" s="10"/>
      <c r="T196" s="10"/>
      <c r="U196" s="10"/>
      <c r="V196" s="19"/>
      <c r="W196" s="10"/>
    </row>
    <row r="197" customFormat="false" ht="15" hidden="false" customHeight="false" outlineLevel="0" collapsed="false">
      <c r="A197" s="18"/>
      <c r="B197" s="5"/>
      <c r="C197" s="10"/>
      <c r="D197" s="10"/>
      <c r="E197" s="10"/>
      <c r="F197" s="10"/>
      <c r="G197" s="5"/>
      <c r="H197" s="5"/>
      <c r="I197" s="5"/>
      <c r="J197" s="10"/>
      <c r="K197" s="5"/>
      <c r="L197" s="10"/>
      <c r="M197" s="5"/>
      <c r="N197" s="10"/>
      <c r="O197" s="10"/>
      <c r="P197" s="19"/>
      <c r="Q197" s="19"/>
      <c r="R197" s="10"/>
      <c r="S197" s="10"/>
      <c r="T197" s="10"/>
      <c r="U197" s="10"/>
      <c r="V197" s="19"/>
      <c r="W197" s="10"/>
    </row>
    <row r="198" customFormat="false" ht="15" hidden="false" customHeight="false" outlineLevel="0" collapsed="false">
      <c r="A198" s="18"/>
      <c r="B198" s="5"/>
      <c r="C198" s="10"/>
      <c r="D198" s="10"/>
      <c r="E198" s="10"/>
      <c r="F198" s="10"/>
      <c r="G198" s="5"/>
      <c r="H198" s="5"/>
      <c r="I198" s="5"/>
      <c r="J198" s="10"/>
      <c r="K198" s="5"/>
      <c r="L198" s="10"/>
      <c r="M198" s="5"/>
      <c r="N198" s="10"/>
      <c r="O198" s="10"/>
      <c r="P198" s="19"/>
      <c r="Q198" s="19"/>
      <c r="R198" s="10"/>
      <c r="S198" s="10"/>
      <c r="T198" s="10"/>
      <c r="U198" s="10"/>
      <c r="V198" s="19"/>
      <c r="W198" s="10"/>
    </row>
    <row r="199" customFormat="false" ht="15" hidden="false" customHeight="false" outlineLevel="0" collapsed="false">
      <c r="A199" s="18"/>
      <c r="B199" s="5"/>
      <c r="C199" s="10"/>
      <c r="D199" s="10"/>
      <c r="E199" s="10"/>
      <c r="F199" s="10"/>
      <c r="G199" s="5"/>
      <c r="H199" s="5"/>
      <c r="I199" s="5"/>
      <c r="J199" s="10"/>
      <c r="K199" s="5"/>
      <c r="L199" s="10"/>
      <c r="M199" s="5"/>
      <c r="N199" s="10"/>
      <c r="O199" s="10"/>
      <c r="P199" s="19"/>
      <c r="Q199" s="19"/>
      <c r="R199" s="10"/>
      <c r="S199" s="10"/>
      <c r="T199" s="10"/>
      <c r="U199" s="10"/>
      <c r="V199" s="19"/>
      <c r="W199" s="10"/>
    </row>
    <row r="200" customFormat="false" ht="15" hidden="false" customHeight="false" outlineLevel="0" collapsed="false">
      <c r="A200" s="18"/>
      <c r="B200" s="5"/>
      <c r="C200" s="10"/>
      <c r="D200" s="10"/>
      <c r="E200" s="10"/>
      <c r="F200" s="10"/>
      <c r="G200" s="5"/>
      <c r="H200" s="5"/>
      <c r="I200" s="5"/>
      <c r="J200" s="10"/>
      <c r="K200" s="5"/>
      <c r="L200" s="10"/>
      <c r="M200" s="5"/>
      <c r="N200" s="10"/>
      <c r="O200" s="10"/>
      <c r="P200" s="19"/>
      <c r="Q200" s="19"/>
      <c r="R200" s="10"/>
      <c r="S200" s="10"/>
      <c r="T200" s="10"/>
      <c r="U200" s="10"/>
      <c r="V200" s="19"/>
      <c r="W200" s="10"/>
    </row>
    <row r="201" customFormat="false" ht="15" hidden="false" customHeight="false" outlineLevel="0" collapsed="false">
      <c r="A201" s="18"/>
      <c r="B201" s="5"/>
      <c r="C201" s="10"/>
      <c r="D201" s="10"/>
      <c r="E201" s="10"/>
      <c r="F201" s="10"/>
      <c r="G201" s="5"/>
      <c r="H201" s="5"/>
      <c r="I201" s="5"/>
      <c r="J201" s="10"/>
      <c r="K201" s="5"/>
      <c r="L201" s="10"/>
      <c r="M201" s="5"/>
      <c r="N201" s="10"/>
      <c r="O201" s="10"/>
      <c r="P201" s="19"/>
      <c r="Q201" s="19"/>
      <c r="R201" s="10"/>
      <c r="S201" s="10"/>
      <c r="T201" s="10"/>
      <c r="U201" s="10"/>
      <c r="V201" s="19"/>
      <c r="W201" s="10"/>
    </row>
    <row r="202" customFormat="false" ht="15" hidden="false" customHeight="false" outlineLevel="0" collapsed="false">
      <c r="A202" s="18"/>
      <c r="B202" s="5"/>
      <c r="C202" s="10"/>
      <c r="D202" s="10"/>
      <c r="E202" s="10"/>
      <c r="F202" s="10"/>
      <c r="G202" s="5"/>
      <c r="H202" s="5"/>
      <c r="I202" s="5"/>
      <c r="J202" s="10"/>
      <c r="K202" s="5"/>
      <c r="L202" s="10"/>
      <c r="M202" s="5"/>
      <c r="N202" s="10"/>
      <c r="O202" s="10"/>
      <c r="P202" s="19"/>
      <c r="Q202" s="19"/>
      <c r="R202" s="10"/>
      <c r="S202" s="10"/>
      <c r="T202" s="10"/>
      <c r="U202" s="10"/>
      <c r="V202" s="19"/>
      <c r="W202" s="10"/>
    </row>
    <row r="203" customFormat="false" ht="15" hidden="false" customHeight="false" outlineLevel="0" collapsed="false">
      <c r="A203" s="18"/>
      <c r="B203" s="5"/>
      <c r="C203" s="10"/>
      <c r="D203" s="10"/>
      <c r="E203" s="10"/>
      <c r="F203" s="10"/>
      <c r="G203" s="5"/>
      <c r="H203" s="5"/>
      <c r="I203" s="5"/>
      <c r="J203" s="10"/>
      <c r="K203" s="5"/>
      <c r="L203" s="10"/>
      <c r="M203" s="5"/>
      <c r="N203" s="10"/>
      <c r="O203" s="10"/>
      <c r="P203" s="19"/>
      <c r="Q203" s="19"/>
      <c r="R203" s="10"/>
      <c r="S203" s="10"/>
      <c r="T203" s="10"/>
      <c r="U203" s="10"/>
      <c r="V203" s="19"/>
      <c r="W203" s="10"/>
    </row>
    <row r="204" customFormat="false" ht="15" hidden="false" customHeight="false" outlineLevel="0" collapsed="false">
      <c r="A204" s="18"/>
      <c r="B204" s="5"/>
      <c r="C204" s="10"/>
      <c r="D204" s="10"/>
      <c r="E204" s="10"/>
      <c r="F204" s="10"/>
      <c r="G204" s="5"/>
      <c r="H204" s="5"/>
      <c r="I204" s="5"/>
      <c r="J204" s="10"/>
      <c r="K204" s="5"/>
      <c r="L204" s="10"/>
      <c r="M204" s="5"/>
      <c r="N204" s="10"/>
      <c r="O204" s="10"/>
      <c r="P204" s="19"/>
      <c r="Q204" s="19"/>
      <c r="R204" s="10"/>
      <c r="S204" s="10"/>
      <c r="T204" s="10"/>
      <c r="U204" s="10"/>
      <c r="V204" s="19"/>
      <c r="W204" s="10"/>
    </row>
  </sheetData>
  <mergeCells count="2">
    <mergeCell ref="A1:W1"/>
    <mergeCell ref="A2:W2"/>
  </mergeCells>
  <conditionalFormatting sqref="M5:M204">
    <cfRule type="expression" priority="2" aboveAverage="0" equalAverage="0" bottom="0" percent="0" rank="0" text="" dxfId="7">
      <formula>M5="Verificado"</formula>
    </cfRule>
    <cfRule type="expression" priority="3" aboveAverage="0" equalAverage="0" bottom="0" percent="0" rank="0" text="" dxfId="8">
      <formula>M5="Aprobado"</formula>
    </cfRule>
    <cfRule type="expression" priority="4" aboveAverage="0" equalAverage="0" bottom="0" percent="0" rank="0" text="" dxfId="9">
      <formula>M5="Rechazado"</formula>
    </cfRule>
    <cfRule type="expression" priority="5" aboveAverage="0" equalAverage="0" bottom="0" percent="0" rank="0" text="" dxfId="10">
      <formula>M5="Diferido"</formula>
    </cfRule>
  </conditionalFormatting>
  <dataValidations count="6">
    <dataValidation allowBlank="false" errorStyle="stop" operator="between" showDropDown="false" showErrorMessage="false" showInputMessage="false" sqref="B5:B204" type="list">
      <formula1>"Negocio,Interesado,Sistema,Software,Funcional,No funcional,Interfaz,Restricción,Regla de negocio,Datos"</formula1>
      <formula2>0</formula2>
    </dataValidation>
    <dataValidation allowBlank="false" errorStyle="stop" operator="between" showDropDown="false" showErrorMessage="false" showInputMessage="false" sqref="G5:G204" type="list">
      <formula1>"Obligatorio (Must),Importante (Should),Deseable (Could),Fuera ahora (Won't)"</formula1>
      <formula2>0</formula2>
    </dataValidation>
    <dataValidation allowBlank="false" errorStyle="stop" operator="between" showDropDown="false" showErrorMessage="false" showInputMessage="false" sqref="H5:H204" type="list">
      <formula1>"Bajo,Medio,Alto,Crítico"</formula1>
      <formula2>0</formula2>
    </dataValidation>
    <dataValidation allowBlank="false" errorStyle="stop" operator="between" showDropDown="false" showErrorMessage="false" showInputMessage="false" sqref="I5:I204" type="list">
      <formula1>"Baja,Media,Alta"</formula1>
      <formula2>0</formula2>
    </dataValidation>
    <dataValidation allowBlank="false" errorStyle="stop" operator="between" showDropDown="false" showErrorMessage="false" showInputMessage="false" sqref="K5:K204" type="list">
      <formula1>"Inspección,Análisis,Demostración,Prueba"</formula1>
      <formula2>0</formula2>
    </dataValidation>
    <dataValidation allowBlank="false" errorStyle="stop" operator="between" showDropDown="false" showErrorMessage="false" showInputMessage="false" sqref="M5:M204" type="list">
      <formula1>"Propuesto,En análisis,Redactado,Revisado,Aprobado,Implementado,Verificado,Diferido,Eliminado,Rechazado"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40"/>
    <col collapsed="false" customWidth="true" hidden="false" outlineLevel="0" max="18" min="18" style="1" width="14"/>
    <col collapsed="false" customWidth="true" hidden="false" outlineLevel="0" max="20" min="19" style="1" width="15"/>
    <col collapsed="false" customWidth="true" hidden="false" outlineLevel="0" max="21" min="21" style="1" width="22"/>
  </cols>
  <sheetData>
    <row r="1" customFormat="false" ht="30" hidden="false" customHeight="true" outlineLevel="0" collapsed="false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3.75" hidden="false" customHeight="true" outlineLevel="0" collapsed="false">
      <c r="A2" s="3" t="s">
        <v>303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42" hidden="false" customHeight="true" outlineLevel="0" collapsed="false">
      <c r="A4" s="14" t="s">
        <v>304</v>
      </c>
      <c r="B4" s="9" t="s">
        <v>305</v>
      </c>
      <c r="C4" s="9" t="s">
        <v>306</v>
      </c>
      <c r="D4" s="9" t="s">
        <v>307</v>
      </c>
      <c r="E4" s="9" t="s">
        <v>308</v>
      </c>
      <c r="F4" s="9" t="s">
        <v>309</v>
      </c>
      <c r="G4" s="9" t="s">
        <v>310</v>
      </c>
      <c r="H4" s="9" t="s">
        <v>311</v>
      </c>
      <c r="I4" s="9" t="s">
        <v>312</v>
      </c>
      <c r="J4" s="9" t="s">
        <v>313</v>
      </c>
      <c r="K4" s="9" t="s">
        <v>314</v>
      </c>
      <c r="L4" s="9" t="s">
        <v>315</v>
      </c>
      <c r="M4" s="9" t="s">
        <v>316</v>
      </c>
      <c r="N4" s="9" t="s">
        <v>317</v>
      </c>
      <c r="O4" s="9" t="s">
        <v>318</v>
      </c>
      <c r="P4" s="9" t="s">
        <v>319</v>
      </c>
      <c r="Q4" s="9" t="s">
        <v>320</v>
      </c>
      <c r="R4" s="9" t="s">
        <v>321</v>
      </c>
      <c r="S4" s="9" t="s">
        <v>322</v>
      </c>
      <c r="T4" s="9" t="s">
        <v>323</v>
      </c>
      <c r="U4" s="9" t="s">
        <v>324</v>
      </c>
    </row>
    <row r="5" customFormat="false" ht="41.75" hidden="false" customHeight="false" outlineLevel="0" collapsed="false">
      <c r="A5" s="15" t="s">
        <v>183</v>
      </c>
      <c r="B5" s="16" t="s">
        <v>325</v>
      </c>
      <c r="C5" s="16" t="s">
        <v>326</v>
      </c>
      <c r="D5" s="16" t="s">
        <v>326</v>
      </c>
      <c r="E5" s="16" t="s">
        <v>326</v>
      </c>
      <c r="F5" s="16" t="s">
        <v>326</v>
      </c>
      <c r="G5" s="16" t="s">
        <v>326</v>
      </c>
      <c r="H5" s="16" t="s">
        <v>326</v>
      </c>
      <c r="I5" s="16" t="s">
        <v>326</v>
      </c>
      <c r="J5" s="16" t="s">
        <v>327</v>
      </c>
      <c r="K5" s="16" t="s">
        <v>326</v>
      </c>
      <c r="L5" s="16" t="s">
        <v>326</v>
      </c>
      <c r="M5" s="16" t="s">
        <v>326</v>
      </c>
      <c r="N5" s="16" t="s">
        <v>326</v>
      </c>
      <c r="O5" s="16" t="s">
        <v>327</v>
      </c>
      <c r="P5" s="16" t="s">
        <v>327</v>
      </c>
      <c r="Q5" s="16" t="s">
        <v>328</v>
      </c>
      <c r="R5" s="16" t="s">
        <v>329</v>
      </c>
      <c r="S5" s="17" t="n">
        <v>46221</v>
      </c>
      <c r="T5" s="20" t="n">
        <f aca="false">IF(A5="","",(COUNTIF(C5:O5,"Sí")+IF(P5="No",1,0))/14)</f>
        <v>0.857142857142857</v>
      </c>
      <c r="U5" s="16" t="str">
        <f aca="false">IF(A5="","",IF(AND(T5&gt;=0.9,P5="No",OR(R5="Conservar",R5="Modificar")),"Apto para línea base","Revisar"))</f>
        <v>Revisar</v>
      </c>
    </row>
    <row r="6" customFormat="false" ht="41.75" hidden="false" customHeight="false" outlineLevel="0" collapsed="false">
      <c r="A6" s="18" t="s">
        <v>200</v>
      </c>
      <c r="B6" s="10" t="s">
        <v>325</v>
      </c>
      <c r="C6" s="5" t="s">
        <v>326</v>
      </c>
      <c r="D6" s="5" t="s">
        <v>326</v>
      </c>
      <c r="E6" s="5" t="s">
        <v>326</v>
      </c>
      <c r="F6" s="5" t="s">
        <v>326</v>
      </c>
      <c r="G6" s="5" t="s">
        <v>326</v>
      </c>
      <c r="H6" s="5" t="s">
        <v>326</v>
      </c>
      <c r="I6" s="5" t="s">
        <v>326</v>
      </c>
      <c r="J6" s="5" t="s">
        <v>326</v>
      </c>
      <c r="K6" s="5" t="s">
        <v>326</v>
      </c>
      <c r="L6" s="5" t="s">
        <v>326</v>
      </c>
      <c r="M6" s="5" t="s">
        <v>326</v>
      </c>
      <c r="N6" s="5" t="s">
        <v>326</v>
      </c>
      <c r="O6" s="5" t="s">
        <v>326</v>
      </c>
      <c r="P6" s="5" t="s">
        <v>327</v>
      </c>
      <c r="Q6" s="10" t="s">
        <v>330</v>
      </c>
      <c r="R6" s="5" t="s">
        <v>329</v>
      </c>
      <c r="S6" s="19" t="n">
        <v>46221</v>
      </c>
      <c r="T6" s="21" t="n">
        <f aca="false">IF(A6="","",(COUNTIF(C6:O6,"Sí")+IF(P6="No",1,0))/14)</f>
        <v>1</v>
      </c>
      <c r="U6" s="10" t="str">
        <f aca="false">IF(A6="","",IF(AND(T6&gt;=0.9,P6="No",OR(R6="Conservar",R6="Modificar")),"Apto para línea base","Revisar"))</f>
        <v>Apto para línea base</v>
      </c>
    </row>
    <row r="7" customFormat="false" ht="55.2" hidden="false" customHeight="false" outlineLevel="0" collapsed="false">
      <c r="A7" s="18" t="s">
        <v>209</v>
      </c>
      <c r="B7" s="10" t="s">
        <v>325</v>
      </c>
      <c r="C7" s="5" t="s">
        <v>326</v>
      </c>
      <c r="D7" s="5" t="s">
        <v>326</v>
      </c>
      <c r="E7" s="5" t="s">
        <v>326</v>
      </c>
      <c r="F7" s="5" t="s">
        <v>326</v>
      </c>
      <c r="G7" s="5" t="s">
        <v>326</v>
      </c>
      <c r="H7" s="5" t="s">
        <v>326</v>
      </c>
      <c r="I7" s="5" t="s">
        <v>327</v>
      </c>
      <c r="J7" s="5" t="s">
        <v>326</v>
      </c>
      <c r="K7" s="5" t="s">
        <v>326</v>
      </c>
      <c r="L7" s="5" t="s">
        <v>326</v>
      </c>
      <c r="M7" s="5" t="s">
        <v>326</v>
      </c>
      <c r="N7" s="5" t="s">
        <v>326</v>
      </c>
      <c r="O7" s="5" t="s">
        <v>326</v>
      </c>
      <c r="P7" s="5" t="s">
        <v>327</v>
      </c>
      <c r="Q7" s="10" t="s">
        <v>331</v>
      </c>
      <c r="R7" s="5" t="s">
        <v>329</v>
      </c>
      <c r="S7" s="19" t="n">
        <v>46221</v>
      </c>
      <c r="T7" s="21" t="n">
        <f aca="false">IF(A7="","",(COUNTIF(C7:O7,"Sí")+IF(P7="No",1,0))/14)</f>
        <v>0.928571428571429</v>
      </c>
      <c r="U7" s="10" t="str">
        <f aca="false">IF(A7="","",IF(AND(T7&gt;=0.9,P7="No",OR(R7="Conservar",R7="Modificar")),"Apto para línea base","Revisar"))</f>
        <v>Apto para línea base</v>
      </c>
    </row>
    <row r="8" customFormat="false" ht="28.35" hidden="false" customHeight="false" outlineLevel="0" collapsed="false">
      <c r="A8" s="18" t="s">
        <v>221</v>
      </c>
      <c r="B8" s="10" t="s">
        <v>325</v>
      </c>
      <c r="C8" s="5" t="s">
        <v>326</v>
      </c>
      <c r="D8" s="5" t="s">
        <v>326</v>
      </c>
      <c r="E8" s="5" t="s">
        <v>326</v>
      </c>
      <c r="F8" s="5" t="s">
        <v>326</v>
      </c>
      <c r="G8" s="5" t="s">
        <v>326</v>
      </c>
      <c r="H8" s="5" t="s">
        <v>326</v>
      </c>
      <c r="I8" s="5" t="s">
        <v>326</v>
      </c>
      <c r="J8" s="5" t="s">
        <v>326</v>
      </c>
      <c r="K8" s="5" t="s">
        <v>326</v>
      </c>
      <c r="L8" s="5" t="s">
        <v>326</v>
      </c>
      <c r="M8" s="5" t="s">
        <v>326</v>
      </c>
      <c r="N8" s="5" t="s">
        <v>326</v>
      </c>
      <c r="O8" s="5" t="s">
        <v>327</v>
      </c>
      <c r="P8" s="5" t="s">
        <v>327</v>
      </c>
      <c r="Q8" s="10" t="s">
        <v>332</v>
      </c>
      <c r="R8" s="5" t="s">
        <v>329</v>
      </c>
      <c r="S8" s="19" t="n">
        <v>46221</v>
      </c>
      <c r="T8" s="21" t="n">
        <f aca="false">IF(A8="","",(COUNTIF(C8:O8,"Sí")+IF(P8="No",1,0))/14)</f>
        <v>0.928571428571429</v>
      </c>
      <c r="U8" s="10" t="str">
        <f aca="false">IF(A8="","",IF(AND(T8&gt;=0.9,P8="No",OR(R8="Conservar",R8="Modificar")),"Apto para línea base","Revisar"))</f>
        <v>Apto para línea base</v>
      </c>
    </row>
    <row r="9" customFormat="false" ht="55.2" hidden="false" customHeight="false" outlineLevel="0" collapsed="false">
      <c r="A9" s="18" t="s">
        <v>229</v>
      </c>
      <c r="B9" s="10" t="s">
        <v>325</v>
      </c>
      <c r="C9" s="5" t="s">
        <v>326</v>
      </c>
      <c r="D9" s="5" t="s">
        <v>326</v>
      </c>
      <c r="E9" s="5" t="s">
        <v>326</v>
      </c>
      <c r="F9" s="5" t="s">
        <v>326</v>
      </c>
      <c r="G9" s="5" t="s">
        <v>327</v>
      </c>
      <c r="H9" s="5" t="s">
        <v>327</v>
      </c>
      <c r="I9" s="5" t="s">
        <v>326</v>
      </c>
      <c r="J9" s="5" t="s">
        <v>327</v>
      </c>
      <c r="K9" s="5" t="s">
        <v>326</v>
      </c>
      <c r="L9" s="5" t="s">
        <v>326</v>
      </c>
      <c r="M9" s="5" t="s">
        <v>326</v>
      </c>
      <c r="N9" s="5" t="s">
        <v>326</v>
      </c>
      <c r="O9" s="5" t="s">
        <v>326</v>
      </c>
      <c r="P9" s="5" t="s">
        <v>327</v>
      </c>
      <c r="Q9" s="10" t="s">
        <v>333</v>
      </c>
      <c r="R9" s="5" t="s">
        <v>329</v>
      </c>
      <c r="S9" s="19" t="n">
        <v>46221</v>
      </c>
      <c r="T9" s="21" t="n">
        <f aca="false">IF(A9="","",(COUNTIF(C9:O9,"Sí")+IF(P9="No",1,0))/14)</f>
        <v>0.785714285714286</v>
      </c>
      <c r="U9" s="10" t="str">
        <f aca="false">IF(A9="","",IF(AND(T9&gt;=0.9,P9="No",OR(R9="Conservar",R9="Modificar")),"Apto para línea base","Revisar"))</f>
        <v>Revisar</v>
      </c>
    </row>
    <row r="10" customFormat="false" ht="28.35" hidden="false" customHeight="false" outlineLevel="0" collapsed="false">
      <c r="A10" s="18" t="s">
        <v>237</v>
      </c>
      <c r="B10" s="10" t="s">
        <v>325</v>
      </c>
      <c r="C10" s="5" t="s">
        <v>326</v>
      </c>
      <c r="D10" s="5" t="s">
        <v>326</v>
      </c>
      <c r="E10" s="5" t="s">
        <v>326</v>
      </c>
      <c r="F10" s="5" t="s">
        <v>326</v>
      </c>
      <c r="G10" s="5" t="s">
        <v>326</v>
      </c>
      <c r="H10" s="5" t="s">
        <v>326</v>
      </c>
      <c r="I10" s="5" t="s">
        <v>326</v>
      </c>
      <c r="J10" s="5" t="s">
        <v>326</v>
      </c>
      <c r="K10" s="5" t="s">
        <v>326</v>
      </c>
      <c r="L10" s="5" t="s">
        <v>326</v>
      </c>
      <c r="M10" s="5" t="s">
        <v>326</v>
      </c>
      <c r="N10" s="5" t="s">
        <v>326</v>
      </c>
      <c r="O10" s="5" t="s">
        <v>327</v>
      </c>
      <c r="P10" s="5" t="s">
        <v>327</v>
      </c>
      <c r="Q10" s="10" t="s">
        <v>334</v>
      </c>
      <c r="R10" s="5" t="s">
        <v>329</v>
      </c>
      <c r="S10" s="19" t="n">
        <v>46221</v>
      </c>
      <c r="T10" s="21" t="n">
        <f aca="false">IF(A10="","",(COUNTIF(C10:O10,"Sí")+IF(P10="No",1,0))/14)</f>
        <v>0.928571428571429</v>
      </c>
      <c r="U10" s="10" t="str">
        <f aca="false">IF(A10="","",IF(AND(T10&gt;=0.9,P10="No",OR(R10="Conservar",R10="Modificar")),"Apto para línea base","Revisar"))</f>
        <v>Apto para línea base</v>
      </c>
    </row>
    <row r="11" customFormat="false" ht="55.2" hidden="false" customHeight="false" outlineLevel="0" collapsed="false">
      <c r="A11" s="18" t="s">
        <v>247</v>
      </c>
      <c r="B11" s="10" t="s">
        <v>325</v>
      </c>
      <c r="C11" s="5" t="s">
        <v>326</v>
      </c>
      <c r="D11" s="5" t="s">
        <v>326</v>
      </c>
      <c r="E11" s="5" t="s">
        <v>326</v>
      </c>
      <c r="F11" s="5" t="s">
        <v>326</v>
      </c>
      <c r="G11" s="5" t="s">
        <v>326</v>
      </c>
      <c r="H11" s="5" t="s">
        <v>326</v>
      </c>
      <c r="I11" s="5" t="s">
        <v>326</v>
      </c>
      <c r="J11" s="5" t="s">
        <v>327</v>
      </c>
      <c r="K11" s="5" t="s">
        <v>326</v>
      </c>
      <c r="L11" s="5" t="s">
        <v>326</v>
      </c>
      <c r="M11" s="5" t="s">
        <v>326</v>
      </c>
      <c r="N11" s="5" t="s">
        <v>326</v>
      </c>
      <c r="O11" s="5" t="s">
        <v>326</v>
      </c>
      <c r="P11" s="5" t="s">
        <v>327</v>
      </c>
      <c r="Q11" s="10" t="s">
        <v>335</v>
      </c>
      <c r="R11" s="5" t="s">
        <v>329</v>
      </c>
      <c r="S11" s="19" t="n">
        <v>46221</v>
      </c>
      <c r="T11" s="21" t="n">
        <f aca="false">IF(A11="","",(COUNTIF(C11:O11,"Sí")+IF(P11="No",1,0))/14)</f>
        <v>0.928571428571429</v>
      </c>
      <c r="U11" s="10" t="str">
        <f aca="false">IF(A11="","",IF(AND(T11&gt;=0.9,P11="No",OR(R11="Conservar",R11="Modificar")),"Apto para línea base","Revisar"))</f>
        <v>Apto para línea base</v>
      </c>
    </row>
    <row r="12" customFormat="false" ht="41.75" hidden="false" customHeight="false" outlineLevel="0" collapsed="false">
      <c r="A12" s="18" t="s">
        <v>256</v>
      </c>
      <c r="B12" s="10" t="s">
        <v>325</v>
      </c>
      <c r="C12" s="5" t="s">
        <v>326</v>
      </c>
      <c r="D12" s="5" t="s">
        <v>326</v>
      </c>
      <c r="E12" s="5" t="s">
        <v>326</v>
      </c>
      <c r="F12" s="5" t="s">
        <v>326</v>
      </c>
      <c r="G12" s="5" t="s">
        <v>327</v>
      </c>
      <c r="H12" s="5" t="s">
        <v>327</v>
      </c>
      <c r="I12" s="5" t="s">
        <v>326</v>
      </c>
      <c r="J12" s="5" t="s">
        <v>326</v>
      </c>
      <c r="K12" s="5" t="s">
        <v>326</v>
      </c>
      <c r="L12" s="5" t="s">
        <v>326</v>
      </c>
      <c r="M12" s="5" t="s">
        <v>326</v>
      </c>
      <c r="N12" s="5" t="s">
        <v>326</v>
      </c>
      <c r="O12" s="5" t="s">
        <v>326</v>
      </c>
      <c r="P12" s="5" t="s">
        <v>327</v>
      </c>
      <c r="Q12" s="10" t="s">
        <v>336</v>
      </c>
      <c r="R12" s="5" t="s">
        <v>329</v>
      </c>
      <c r="S12" s="19" t="n">
        <v>46221</v>
      </c>
      <c r="T12" s="21" t="n">
        <f aca="false">IF(A12="","",(COUNTIF(C12:O12,"Sí")+IF(P12="No",1,0))/14)</f>
        <v>0.857142857142857</v>
      </c>
      <c r="U12" s="10" t="str">
        <f aca="false">IF(A12="","",IF(AND(T12&gt;=0.9,P12="No",OR(R12="Conservar",R12="Modificar")),"Apto para línea base","Revisar"))</f>
        <v>Revisar</v>
      </c>
    </row>
    <row r="13" customFormat="false" ht="41.75" hidden="false" customHeight="false" outlineLevel="0" collapsed="false">
      <c r="A13" s="18" t="s">
        <v>265</v>
      </c>
      <c r="B13" s="10" t="s">
        <v>325</v>
      </c>
      <c r="C13" s="5" t="s">
        <v>326</v>
      </c>
      <c r="D13" s="5" t="s">
        <v>326</v>
      </c>
      <c r="E13" s="5" t="s">
        <v>326</v>
      </c>
      <c r="F13" s="5" t="s">
        <v>326</v>
      </c>
      <c r="G13" s="5" t="s">
        <v>326</v>
      </c>
      <c r="H13" s="5" t="s">
        <v>326</v>
      </c>
      <c r="I13" s="5" t="s">
        <v>326</v>
      </c>
      <c r="J13" s="5" t="s">
        <v>326</v>
      </c>
      <c r="K13" s="5" t="s">
        <v>326</v>
      </c>
      <c r="L13" s="5" t="s">
        <v>326</v>
      </c>
      <c r="M13" s="5" t="s">
        <v>326</v>
      </c>
      <c r="N13" s="5" t="s">
        <v>326</v>
      </c>
      <c r="O13" s="5" t="s">
        <v>327</v>
      </c>
      <c r="P13" s="5" t="s">
        <v>327</v>
      </c>
      <c r="Q13" s="10" t="s">
        <v>337</v>
      </c>
      <c r="R13" s="5" t="s">
        <v>329</v>
      </c>
      <c r="S13" s="19" t="n">
        <v>46221</v>
      </c>
      <c r="T13" s="21" t="n">
        <f aca="false">IF(A13="","",(COUNTIF(C13:O13,"Sí")+IF(P13="No",1,0))/14)</f>
        <v>0.928571428571429</v>
      </c>
      <c r="U13" s="10" t="str">
        <f aca="false">IF(A13="","",IF(AND(T13&gt;=0.9,P13="No",OR(R13="Conservar",R13="Modificar")),"Apto para línea base","Revisar"))</f>
        <v>Apto para línea base</v>
      </c>
    </row>
    <row r="14" customFormat="false" ht="55.2" hidden="false" customHeight="false" outlineLevel="0" collapsed="false">
      <c r="A14" s="18" t="s">
        <v>273</v>
      </c>
      <c r="B14" s="10" t="s">
        <v>325</v>
      </c>
      <c r="C14" s="5" t="s">
        <v>326</v>
      </c>
      <c r="D14" s="5" t="s">
        <v>326</v>
      </c>
      <c r="E14" s="5" t="s">
        <v>326</v>
      </c>
      <c r="F14" s="5" t="s">
        <v>326</v>
      </c>
      <c r="G14" s="5" t="s">
        <v>326</v>
      </c>
      <c r="H14" s="5" t="s">
        <v>327</v>
      </c>
      <c r="I14" s="5" t="s">
        <v>326</v>
      </c>
      <c r="J14" s="5" t="s">
        <v>326</v>
      </c>
      <c r="K14" s="5" t="s">
        <v>326</v>
      </c>
      <c r="L14" s="5" t="s">
        <v>326</v>
      </c>
      <c r="M14" s="5" t="s">
        <v>326</v>
      </c>
      <c r="N14" s="5" t="s">
        <v>326</v>
      </c>
      <c r="O14" s="5" t="s">
        <v>326</v>
      </c>
      <c r="P14" s="5" t="s">
        <v>327</v>
      </c>
      <c r="Q14" s="10" t="s">
        <v>338</v>
      </c>
      <c r="R14" s="5" t="s">
        <v>329</v>
      </c>
      <c r="S14" s="19" t="n">
        <v>46221</v>
      </c>
      <c r="T14" s="21" t="n">
        <f aca="false">IF(A14="","",(COUNTIF(C14:O14,"Sí")+IF(P14="No",1,0))/14)</f>
        <v>0.928571428571429</v>
      </c>
      <c r="U14" s="10" t="str">
        <f aca="false">IF(A14="","",IF(AND(T14&gt;=0.9,P14="No",OR(R14="Conservar",R14="Modificar")),"Apto para línea base","Revisar"))</f>
        <v>Apto para línea base</v>
      </c>
    </row>
    <row r="15" customFormat="false" ht="28.35" hidden="false" customHeight="false" outlineLevel="0" collapsed="false">
      <c r="A15" s="18" t="s">
        <v>282</v>
      </c>
      <c r="B15" s="10" t="s">
        <v>325</v>
      </c>
      <c r="C15" s="5" t="s">
        <v>326</v>
      </c>
      <c r="D15" s="5" t="s">
        <v>326</v>
      </c>
      <c r="E15" s="5" t="s">
        <v>326</v>
      </c>
      <c r="F15" s="5" t="s">
        <v>326</v>
      </c>
      <c r="G15" s="5" t="s">
        <v>326</v>
      </c>
      <c r="H15" s="5" t="s">
        <v>326</v>
      </c>
      <c r="I15" s="5" t="s">
        <v>326</v>
      </c>
      <c r="J15" s="5" t="s">
        <v>326</v>
      </c>
      <c r="K15" s="5" t="s">
        <v>326</v>
      </c>
      <c r="L15" s="5" t="s">
        <v>326</v>
      </c>
      <c r="M15" s="5" t="s">
        <v>326</v>
      </c>
      <c r="N15" s="5" t="s">
        <v>326</v>
      </c>
      <c r="O15" s="5" t="s">
        <v>326</v>
      </c>
      <c r="P15" s="5" t="s">
        <v>327</v>
      </c>
      <c r="Q15" s="10" t="s">
        <v>339</v>
      </c>
      <c r="R15" s="5" t="s">
        <v>340</v>
      </c>
      <c r="S15" s="19" t="n">
        <v>46221</v>
      </c>
      <c r="T15" s="21" t="n">
        <f aca="false">IF(A15="","",(COUNTIF(C15:O15,"Sí")+IF(P15="No",1,0))/14)</f>
        <v>1</v>
      </c>
      <c r="U15" s="10" t="str">
        <f aca="false">IF(A15="","",IF(AND(T15&gt;=0.9,P15="No",OR(R15="Conservar",R15="Modificar")),"Apto para línea base","Revisar"))</f>
        <v>Apto para línea base</v>
      </c>
    </row>
    <row r="16" customFormat="false" ht="28.35" hidden="false" customHeight="false" outlineLevel="0" collapsed="false">
      <c r="A16" s="18" t="s">
        <v>294</v>
      </c>
      <c r="B16" s="10" t="s">
        <v>325</v>
      </c>
      <c r="C16" s="5" t="s">
        <v>326</v>
      </c>
      <c r="D16" s="5" t="s">
        <v>326</v>
      </c>
      <c r="E16" s="5" t="s">
        <v>326</v>
      </c>
      <c r="F16" s="5" t="s">
        <v>326</v>
      </c>
      <c r="G16" s="5" t="s">
        <v>326</v>
      </c>
      <c r="H16" s="5" t="s">
        <v>326</v>
      </c>
      <c r="I16" s="5" t="s">
        <v>326</v>
      </c>
      <c r="J16" s="5" t="s">
        <v>326</v>
      </c>
      <c r="K16" s="5" t="s">
        <v>326</v>
      </c>
      <c r="L16" s="5" t="s">
        <v>326</v>
      </c>
      <c r="M16" s="5" t="s">
        <v>326</v>
      </c>
      <c r="N16" s="5" t="s">
        <v>326</v>
      </c>
      <c r="O16" s="5" t="s">
        <v>327</v>
      </c>
      <c r="P16" s="5" t="s">
        <v>327</v>
      </c>
      <c r="Q16" s="10" t="s">
        <v>341</v>
      </c>
      <c r="R16" s="5" t="s">
        <v>329</v>
      </c>
      <c r="S16" s="19" t="n">
        <v>46221</v>
      </c>
      <c r="T16" s="21" t="n">
        <f aca="false">IF(A16="","",(COUNTIF(C16:O16,"Sí")+IF(P16="No",1,0))/14)</f>
        <v>0.928571428571429</v>
      </c>
      <c r="U16" s="10" t="str">
        <f aca="false">IF(A16="","",IF(AND(T16&gt;=0.9,P16="No",OR(R16="Conservar",R16="Modificar")),"Apto para línea base","Revisar"))</f>
        <v>Apto para línea base</v>
      </c>
    </row>
    <row r="17" customFormat="false" ht="15" hidden="false" customHeight="false" outlineLevel="0" collapsed="false">
      <c r="A17" s="18"/>
      <c r="B17" s="1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0"/>
      <c r="R17" s="5"/>
      <c r="S17" s="19"/>
      <c r="T17" s="21" t="str">
        <f aca="false">IF(A17="","",(COUNTIF(C17:O17,"Sí")+IF(P17="No",1,0))/14)</f>
        <v/>
      </c>
      <c r="U17" s="10" t="str">
        <f aca="false">IF(A17="","",IF(AND(T17&gt;=0.9,P17="No",OR(R17="Conservar",R17="Modificar")),"Apto para línea base","Revisar"))</f>
        <v/>
      </c>
    </row>
    <row r="18" customFormat="false" ht="15" hidden="false" customHeight="false" outlineLevel="0" collapsed="false">
      <c r="A18" s="18"/>
      <c r="B18" s="1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0"/>
      <c r="R18" s="5"/>
      <c r="S18" s="19"/>
      <c r="T18" s="21" t="str">
        <f aca="false">IF(A18="","",(COUNTIF(C18:O18,"Sí")+IF(P18="No",1,0))/14)</f>
        <v/>
      </c>
      <c r="U18" s="10" t="str">
        <f aca="false">IF(A18="","",IF(AND(T18&gt;=0.9,P18="No",OR(R18="Conservar",R18="Modificar")),"Apto para línea base","Revisar"))</f>
        <v/>
      </c>
    </row>
    <row r="19" customFormat="false" ht="15" hidden="false" customHeight="false" outlineLevel="0" collapsed="false">
      <c r="A19" s="18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0"/>
      <c r="R19" s="5"/>
      <c r="S19" s="19"/>
      <c r="T19" s="21" t="str">
        <f aca="false">IF(A19="","",(COUNTIF(C19:O19,"Sí")+IF(P19="No",1,0))/14)</f>
        <v/>
      </c>
      <c r="U19" s="10" t="str">
        <f aca="false">IF(A19="","",IF(AND(T19&gt;=0.9,P19="No",OR(R19="Conservar",R19="Modificar")),"Apto para línea base","Revisar"))</f>
        <v/>
      </c>
    </row>
    <row r="20" customFormat="false" ht="15" hidden="false" customHeight="false" outlineLevel="0" collapsed="false">
      <c r="A20" s="18"/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"/>
      <c r="R20" s="5"/>
      <c r="S20" s="19"/>
      <c r="T20" s="21" t="str">
        <f aca="false">IF(A20="","",(COUNTIF(C20:O20,"Sí")+IF(P20="No",1,0))/14)</f>
        <v/>
      </c>
      <c r="U20" s="10" t="str">
        <f aca="false">IF(A20="","",IF(AND(T20&gt;=0.9,P20="No",OR(R20="Conservar",R20="Modificar")),"Apto para línea base","Revisar"))</f>
        <v/>
      </c>
    </row>
    <row r="21" customFormat="false" ht="15" hidden="false" customHeight="false" outlineLevel="0" collapsed="false">
      <c r="A21" s="18"/>
      <c r="B21" s="1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0"/>
      <c r="R21" s="5"/>
      <c r="S21" s="19"/>
      <c r="T21" s="21" t="str">
        <f aca="false">IF(A21="","",(COUNTIF(C21:O21,"Sí")+IF(P21="No",1,0))/14)</f>
        <v/>
      </c>
      <c r="U21" s="10" t="str">
        <f aca="false">IF(A21="","",IF(AND(T21&gt;=0.9,P21="No",OR(R21="Conservar",R21="Modificar")),"Apto para línea base","Revisar"))</f>
        <v/>
      </c>
    </row>
    <row r="22" customFormat="false" ht="15" hidden="false" customHeight="false" outlineLevel="0" collapsed="false">
      <c r="A22" s="18"/>
      <c r="B22" s="10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0"/>
      <c r="R22" s="5"/>
      <c r="S22" s="19"/>
      <c r="T22" s="21" t="str">
        <f aca="false">IF(A22="","",(COUNTIF(C22:O22,"Sí")+IF(P22="No",1,0))/14)</f>
        <v/>
      </c>
      <c r="U22" s="10" t="str">
        <f aca="false">IF(A22="","",IF(AND(T22&gt;=0.9,P22="No",OR(R22="Conservar",R22="Modificar")),"Apto para línea base","Revisar"))</f>
        <v/>
      </c>
    </row>
    <row r="23" customFormat="false" ht="15" hidden="false" customHeight="false" outlineLevel="0" collapsed="false">
      <c r="A23" s="18"/>
      <c r="B23" s="10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0"/>
      <c r="R23" s="5"/>
      <c r="S23" s="19"/>
      <c r="T23" s="21" t="str">
        <f aca="false">IF(A23="","",(COUNTIF(C23:O23,"Sí")+IF(P23="No",1,0))/14)</f>
        <v/>
      </c>
      <c r="U23" s="10" t="str">
        <f aca="false">IF(A23="","",IF(AND(T23&gt;=0.9,P23="No",OR(R23="Conservar",R23="Modificar")),"Apto para línea base","Revisar"))</f>
        <v/>
      </c>
    </row>
    <row r="24" customFormat="false" ht="15" hidden="false" customHeight="false" outlineLevel="0" collapsed="false">
      <c r="A24" s="18"/>
      <c r="B24" s="10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0"/>
      <c r="R24" s="5"/>
      <c r="S24" s="19"/>
      <c r="T24" s="21" t="str">
        <f aca="false">IF(A24="","",(COUNTIF(C24:O24,"Sí")+IF(P24="No",1,0))/14)</f>
        <v/>
      </c>
      <c r="U24" s="10" t="str">
        <f aca="false">IF(A24="","",IF(AND(T24&gt;=0.9,P24="No",OR(R24="Conservar",R24="Modificar")),"Apto para línea base","Revisar"))</f>
        <v/>
      </c>
    </row>
    <row r="25" customFormat="false" ht="15" hidden="false" customHeight="false" outlineLevel="0" collapsed="false">
      <c r="A25" s="18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0"/>
      <c r="R25" s="5"/>
      <c r="S25" s="19"/>
      <c r="T25" s="21" t="str">
        <f aca="false">IF(A25="","",(COUNTIF(C25:O25,"Sí")+IF(P25="No",1,0))/14)</f>
        <v/>
      </c>
      <c r="U25" s="10" t="str">
        <f aca="false">IF(A25="","",IF(AND(T25&gt;=0.9,P25="No",OR(R25="Conservar",R25="Modificar")),"Apto para línea base","Revisar"))</f>
        <v/>
      </c>
    </row>
    <row r="26" customFormat="false" ht="15" hidden="false" customHeight="false" outlineLevel="0" collapsed="false">
      <c r="A26" s="18"/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0"/>
      <c r="R26" s="5"/>
      <c r="S26" s="19"/>
      <c r="T26" s="21" t="str">
        <f aca="false">IF(A26="","",(COUNTIF(C26:O26,"Sí")+IF(P26="No",1,0))/14)</f>
        <v/>
      </c>
      <c r="U26" s="10" t="str">
        <f aca="false">IF(A26="","",IF(AND(T26&gt;=0.9,P26="No",OR(R26="Conservar",R26="Modificar")),"Apto para línea base","Revisar"))</f>
        <v/>
      </c>
    </row>
    <row r="27" customFormat="false" ht="15" hidden="false" customHeight="false" outlineLevel="0" collapsed="false">
      <c r="A27" s="18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0"/>
      <c r="R27" s="5"/>
      <c r="S27" s="19"/>
      <c r="T27" s="21" t="str">
        <f aca="false">IF(A27="","",(COUNTIF(C27:O27,"Sí")+IF(P27="No",1,0))/14)</f>
        <v/>
      </c>
      <c r="U27" s="10" t="str">
        <f aca="false">IF(A27="","",IF(AND(T27&gt;=0.9,P27="No",OR(R27="Conservar",R27="Modificar")),"Apto para línea base","Revisar"))</f>
        <v/>
      </c>
    </row>
    <row r="28" customFormat="false" ht="15" hidden="false" customHeight="false" outlineLevel="0" collapsed="false">
      <c r="A28" s="18"/>
      <c r="B28" s="1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0"/>
      <c r="R28" s="5"/>
      <c r="S28" s="19"/>
      <c r="T28" s="21" t="str">
        <f aca="false">IF(A28="","",(COUNTIF(C28:O28,"Sí")+IF(P28="No",1,0))/14)</f>
        <v/>
      </c>
      <c r="U28" s="10" t="str">
        <f aca="false">IF(A28="","",IF(AND(T28&gt;=0.9,P28="No",OR(R28="Conservar",R28="Modificar")),"Apto para línea base","Revisar"))</f>
        <v/>
      </c>
    </row>
    <row r="29" customFormat="false" ht="15" hidden="false" customHeight="false" outlineLevel="0" collapsed="false">
      <c r="A29" s="18"/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0"/>
      <c r="R29" s="5"/>
      <c r="S29" s="19"/>
      <c r="T29" s="21" t="str">
        <f aca="false">IF(A29="","",(COUNTIF(C29:O29,"Sí")+IF(P29="No",1,0))/14)</f>
        <v/>
      </c>
      <c r="U29" s="10" t="str">
        <f aca="false">IF(A29="","",IF(AND(T29&gt;=0.9,P29="No",OR(R29="Conservar",R29="Modificar")),"Apto para línea base","Revisar"))</f>
        <v/>
      </c>
    </row>
    <row r="30" customFormat="false" ht="15" hidden="false" customHeight="false" outlineLevel="0" collapsed="false">
      <c r="A30" s="18"/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0"/>
      <c r="R30" s="5"/>
      <c r="S30" s="19"/>
      <c r="T30" s="21" t="str">
        <f aca="false">IF(A30="","",(COUNTIF(C30:O30,"Sí")+IF(P30="No",1,0))/14)</f>
        <v/>
      </c>
      <c r="U30" s="10" t="str">
        <f aca="false">IF(A30="","",IF(AND(T30&gt;=0.9,P30="No",OR(R30="Conservar",R30="Modificar")),"Apto para línea base","Revisar"))</f>
        <v/>
      </c>
    </row>
    <row r="31" customFormat="false" ht="15" hidden="false" customHeight="false" outlineLevel="0" collapsed="false">
      <c r="A31" s="18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0"/>
      <c r="R31" s="5"/>
      <c r="S31" s="19"/>
      <c r="T31" s="21" t="str">
        <f aca="false">IF(A31="","",(COUNTIF(C31:O31,"Sí")+IF(P31="No",1,0))/14)</f>
        <v/>
      </c>
      <c r="U31" s="10" t="str">
        <f aca="false">IF(A31="","",IF(AND(T31&gt;=0.9,P31="No",OR(R31="Conservar",R31="Modificar")),"Apto para línea base","Revisar"))</f>
        <v/>
      </c>
    </row>
    <row r="32" customFormat="false" ht="15" hidden="false" customHeight="false" outlineLevel="0" collapsed="false">
      <c r="A32" s="18"/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0"/>
      <c r="R32" s="5"/>
      <c r="S32" s="19"/>
      <c r="T32" s="21" t="str">
        <f aca="false">IF(A32="","",(COUNTIF(C32:O32,"Sí")+IF(P32="No",1,0))/14)</f>
        <v/>
      </c>
      <c r="U32" s="10" t="str">
        <f aca="false">IF(A32="","",IF(AND(T32&gt;=0.9,P32="No",OR(R32="Conservar",R32="Modificar")),"Apto para línea base","Revisar"))</f>
        <v/>
      </c>
    </row>
    <row r="33" customFormat="false" ht="15" hidden="false" customHeight="false" outlineLevel="0" collapsed="false">
      <c r="A33" s="18"/>
      <c r="B33" s="1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0"/>
      <c r="R33" s="5"/>
      <c r="S33" s="19"/>
      <c r="T33" s="21" t="str">
        <f aca="false">IF(A33="","",(COUNTIF(C33:O33,"Sí")+IF(P33="No",1,0))/14)</f>
        <v/>
      </c>
      <c r="U33" s="10" t="str">
        <f aca="false">IF(A33="","",IF(AND(T33&gt;=0.9,P33="No",OR(R33="Conservar",R33="Modificar")),"Apto para línea base","Revisar"))</f>
        <v/>
      </c>
    </row>
    <row r="34" customFormat="false" ht="15" hidden="false" customHeight="false" outlineLevel="0" collapsed="false">
      <c r="A34" s="18"/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0"/>
      <c r="R34" s="5"/>
      <c r="S34" s="19"/>
      <c r="T34" s="21" t="str">
        <f aca="false">IF(A34="","",(COUNTIF(C34:O34,"Sí")+IF(P34="No",1,0))/14)</f>
        <v/>
      </c>
      <c r="U34" s="10" t="str">
        <f aca="false">IF(A34="","",IF(AND(T34&gt;=0.9,P34="No",OR(R34="Conservar",R34="Modificar")),"Apto para línea base","Revisar"))</f>
        <v/>
      </c>
    </row>
    <row r="35" customFormat="false" ht="15" hidden="false" customHeight="false" outlineLevel="0" collapsed="false">
      <c r="A35" s="18"/>
      <c r="B35" s="1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0"/>
      <c r="R35" s="5"/>
      <c r="S35" s="19"/>
      <c r="T35" s="21" t="str">
        <f aca="false">IF(A35="","",(COUNTIF(C35:O35,"Sí")+IF(P35="No",1,0))/14)</f>
        <v/>
      </c>
      <c r="U35" s="10" t="str">
        <f aca="false">IF(A35="","",IF(AND(T35&gt;=0.9,P35="No",OR(R35="Conservar",R35="Modificar")),"Apto para línea base","Revisar"))</f>
        <v/>
      </c>
    </row>
    <row r="36" customFormat="false" ht="15" hidden="false" customHeight="false" outlineLevel="0" collapsed="false">
      <c r="A36" s="18"/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0"/>
      <c r="R36" s="5"/>
      <c r="S36" s="19"/>
      <c r="T36" s="21" t="str">
        <f aca="false">IF(A36="","",(COUNTIF(C36:O36,"Sí")+IF(P36="No",1,0))/14)</f>
        <v/>
      </c>
      <c r="U36" s="10" t="str">
        <f aca="false">IF(A36="","",IF(AND(T36&gt;=0.9,P36="No",OR(R36="Conservar",R36="Modificar")),"Apto para línea base","Revisar"))</f>
        <v/>
      </c>
    </row>
    <row r="37" customFormat="false" ht="15" hidden="false" customHeight="false" outlineLevel="0" collapsed="false">
      <c r="A37" s="18"/>
      <c r="B37" s="1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0"/>
      <c r="R37" s="5"/>
      <c r="S37" s="19"/>
      <c r="T37" s="21" t="str">
        <f aca="false">IF(A37="","",(COUNTIF(C37:O37,"Sí")+IF(P37="No",1,0))/14)</f>
        <v/>
      </c>
      <c r="U37" s="10" t="str">
        <f aca="false">IF(A37="","",IF(AND(T37&gt;=0.9,P37="No",OR(R37="Conservar",R37="Modificar")),"Apto para línea base","Revisar"))</f>
        <v/>
      </c>
    </row>
    <row r="38" customFormat="false" ht="15" hidden="false" customHeight="false" outlineLevel="0" collapsed="false">
      <c r="A38" s="18"/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0"/>
      <c r="R38" s="5"/>
      <c r="S38" s="19"/>
      <c r="T38" s="21" t="str">
        <f aca="false">IF(A38="","",(COUNTIF(C38:O38,"Sí")+IF(P38="No",1,0))/14)</f>
        <v/>
      </c>
      <c r="U38" s="10" t="str">
        <f aca="false">IF(A38="","",IF(AND(T38&gt;=0.9,P38="No",OR(R38="Conservar",R38="Modificar")),"Apto para línea base","Revisar"))</f>
        <v/>
      </c>
    </row>
    <row r="39" customFormat="false" ht="15" hidden="false" customHeight="false" outlineLevel="0" collapsed="false">
      <c r="A39" s="18"/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0"/>
      <c r="R39" s="5"/>
      <c r="S39" s="19"/>
      <c r="T39" s="21" t="str">
        <f aca="false">IF(A39="","",(COUNTIF(C39:O39,"Sí")+IF(P39="No",1,0))/14)</f>
        <v/>
      </c>
      <c r="U39" s="10" t="str">
        <f aca="false">IF(A39="","",IF(AND(T39&gt;=0.9,P39="No",OR(R39="Conservar",R39="Modificar")),"Apto para línea base","Revisar"))</f>
        <v/>
      </c>
    </row>
    <row r="40" customFormat="false" ht="15" hidden="false" customHeight="false" outlineLevel="0" collapsed="false">
      <c r="A40" s="18"/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0"/>
      <c r="R40" s="5"/>
      <c r="S40" s="19"/>
      <c r="T40" s="21" t="str">
        <f aca="false">IF(A40="","",(COUNTIF(C40:O40,"Sí")+IF(P40="No",1,0))/14)</f>
        <v/>
      </c>
      <c r="U40" s="10" t="str">
        <f aca="false">IF(A40="","",IF(AND(T40&gt;=0.9,P40="No",OR(R40="Conservar",R40="Modificar")),"Apto para línea base","Revisar"))</f>
        <v/>
      </c>
    </row>
    <row r="41" customFormat="false" ht="15" hidden="false" customHeight="false" outlineLevel="0" collapsed="false">
      <c r="A41" s="18"/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0"/>
      <c r="R41" s="5"/>
      <c r="S41" s="19"/>
      <c r="T41" s="21" t="str">
        <f aca="false">IF(A41="","",(COUNTIF(C41:O41,"Sí")+IF(P41="No",1,0))/14)</f>
        <v/>
      </c>
      <c r="U41" s="10" t="str">
        <f aca="false">IF(A41="","",IF(AND(T41&gt;=0.9,P41="No",OR(R41="Conservar",R41="Modificar")),"Apto para línea base","Revisar"))</f>
        <v/>
      </c>
    </row>
    <row r="42" customFormat="false" ht="15" hidden="false" customHeight="false" outlineLevel="0" collapsed="false">
      <c r="A42" s="18"/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0"/>
      <c r="R42" s="5"/>
      <c r="S42" s="19"/>
      <c r="T42" s="21" t="str">
        <f aca="false">IF(A42="","",(COUNTIF(C42:O42,"Sí")+IF(P42="No",1,0))/14)</f>
        <v/>
      </c>
      <c r="U42" s="10" t="str">
        <f aca="false">IF(A42="","",IF(AND(T42&gt;=0.9,P42="No",OR(R42="Conservar",R42="Modificar")),"Apto para línea base","Revisar"))</f>
        <v/>
      </c>
    </row>
    <row r="43" customFormat="false" ht="15" hidden="false" customHeight="false" outlineLevel="0" collapsed="false">
      <c r="A43" s="18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0"/>
      <c r="R43" s="5"/>
      <c r="S43" s="19"/>
      <c r="T43" s="21" t="str">
        <f aca="false">IF(A43="","",(COUNTIF(C43:O43,"Sí")+IF(P43="No",1,0))/14)</f>
        <v/>
      </c>
      <c r="U43" s="10" t="str">
        <f aca="false">IF(A43="","",IF(AND(T43&gt;=0.9,P43="No",OR(R43="Conservar",R43="Modificar")),"Apto para línea base","Revisar"))</f>
        <v/>
      </c>
    </row>
    <row r="44" customFormat="false" ht="15" hidden="false" customHeight="false" outlineLevel="0" collapsed="false">
      <c r="A44" s="18"/>
      <c r="B44" s="1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0"/>
      <c r="R44" s="5"/>
      <c r="S44" s="19"/>
      <c r="T44" s="21" t="str">
        <f aca="false">IF(A44="","",(COUNTIF(C44:O44,"Sí")+IF(P44="No",1,0))/14)</f>
        <v/>
      </c>
      <c r="U44" s="10" t="str">
        <f aca="false">IF(A44="","",IF(AND(T44&gt;=0.9,P44="No",OR(R44="Conservar",R44="Modificar")),"Apto para línea base","Revisar"))</f>
        <v/>
      </c>
    </row>
    <row r="45" customFormat="false" ht="15" hidden="false" customHeight="false" outlineLevel="0" collapsed="false">
      <c r="A45" s="18"/>
      <c r="B45" s="1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0"/>
      <c r="R45" s="5"/>
      <c r="S45" s="19"/>
      <c r="T45" s="21" t="str">
        <f aca="false">IF(A45="","",(COUNTIF(C45:O45,"Sí")+IF(P45="No",1,0))/14)</f>
        <v/>
      </c>
      <c r="U45" s="10" t="str">
        <f aca="false">IF(A45="","",IF(AND(T45&gt;=0.9,P45="No",OR(R45="Conservar",R45="Modificar")),"Apto para línea base","Revisar"))</f>
        <v/>
      </c>
    </row>
    <row r="46" customFormat="false" ht="15" hidden="false" customHeight="false" outlineLevel="0" collapsed="false">
      <c r="A46" s="18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0"/>
      <c r="R46" s="5"/>
      <c r="S46" s="19"/>
      <c r="T46" s="21" t="str">
        <f aca="false">IF(A46="","",(COUNTIF(C46:O46,"Sí")+IF(P46="No",1,0))/14)</f>
        <v/>
      </c>
      <c r="U46" s="10" t="str">
        <f aca="false">IF(A46="","",IF(AND(T46&gt;=0.9,P46="No",OR(R46="Conservar",R46="Modificar")),"Apto para línea base","Revisar"))</f>
        <v/>
      </c>
    </row>
    <row r="47" customFormat="false" ht="15" hidden="false" customHeight="false" outlineLevel="0" collapsed="false">
      <c r="A47" s="18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0"/>
      <c r="R47" s="5"/>
      <c r="S47" s="19"/>
      <c r="T47" s="21" t="str">
        <f aca="false">IF(A47="","",(COUNTIF(C47:O47,"Sí")+IF(P47="No",1,0))/14)</f>
        <v/>
      </c>
      <c r="U47" s="10" t="str">
        <f aca="false">IF(A47="","",IF(AND(T47&gt;=0.9,P47="No",OR(R47="Conservar",R47="Modificar")),"Apto para línea base","Revisar"))</f>
        <v/>
      </c>
    </row>
    <row r="48" customFormat="false" ht="15" hidden="false" customHeight="false" outlineLevel="0" collapsed="false">
      <c r="A48" s="18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0"/>
      <c r="R48" s="5"/>
      <c r="S48" s="19"/>
      <c r="T48" s="21" t="str">
        <f aca="false">IF(A48="","",(COUNTIF(C48:O48,"Sí")+IF(P48="No",1,0))/14)</f>
        <v/>
      </c>
      <c r="U48" s="10" t="str">
        <f aca="false">IF(A48="","",IF(AND(T48&gt;=0.9,P48="No",OR(R48="Conservar",R48="Modificar")),"Apto para línea base","Revisar"))</f>
        <v/>
      </c>
    </row>
    <row r="49" customFormat="false" ht="15" hidden="false" customHeight="false" outlineLevel="0" collapsed="false">
      <c r="A49" s="18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0"/>
      <c r="R49" s="5"/>
      <c r="S49" s="19"/>
      <c r="T49" s="21" t="str">
        <f aca="false">IF(A49="","",(COUNTIF(C49:O49,"Sí")+IF(P49="No",1,0))/14)</f>
        <v/>
      </c>
      <c r="U49" s="10" t="str">
        <f aca="false">IF(A49="","",IF(AND(T49&gt;=0.9,P49="No",OR(R49="Conservar",R49="Modificar")),"Apto para línea base","Revisar"))</f>
        <v/>
      </c>
    </row>
    <row r="50" customFormat="false" ht="15" hidden="false" customHeight="false" outlineLevel="0" collapsed="false">
      <c r="A50" s="18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0"/>
      <c r="R50" s="5"/>
      <c r="S50" s="19"/>
      <c r="T50" s="21" t="str">
        <f aca="false">IF(A50="","",(COUNTIF(C50:O50,"Sí")+IF(P50="No",1,0))/14)</f>
        <v/>
      </c>
      <c r="U50" s="10" t="str">
        <f aca="false">IF(A50="","",IF(AND(T50&gt;=0.9,P50="No",OR(R50="Conservar",R50="Modificar")),"Apto para línea base","Revisar"))</f>
        <v/>
      </c>
    </row>
    <row r="51" customFormat="false" ht="15" hidden="false" customHeight="false" outlineLevel="0" collapsed="false">
      <c r="A51" s="18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0"/>
      <c r="R51" s="5"/>
      <c r="S51" s="19"/>
      <c r="T51" s="21" t="str">
        <f aca="false">IF(A51="","",(COUNTIF(C51:O51,"Sí")+IF(P51="No",1,0))/14)</f>
        <v/>
      </c>
      <c r="U51" s="10" t="str">
        <f aca="false">IF(A51="","",IF(AND(T51&gt;=0.9,P51="No",OR(R51="Conservar",R51="Modificar")),"Apto para línea base","Revisar"))</f>
        <v/>
      </c>
    </row>
    <row r="52" customFormat="false" ht="15" hidden="false" customHeight="false" outlineLevel="0" collapsed="false">
      <c r="A52" s="18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0"/>
      <c r="R52" s="5"/>
      <c r="S52" s="19"/>
      <c r="T52" s="21" t="str">
        <f aca="false">IF(A52="","",(COUNTIF(C52:O52,"Sí")+IF(P52="No",1,0))/14)</f>
        <v/>
      </c>
      <c r="U52" s="10" t="str">
        <f aca="false">IF(A52="","",IF(AND(T52&gt;=0.9,P52="No",OR(R52="Conservar",R52="Modificar")),"Apto para línea base","Revisar"))</f>
        <v/>
      </c>
    </row>
    <row r="53" customFormat="false" ht="15" hidden="false" customHeight="false" outlineLevel="0" collapsed="false">
      <c r="A53" s="18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0"/>
      <c r="R53" s="5"/>
      <c r="S53" s="19"/>
      <c r="T53" s="21" t="str">
        <f aca="false">IF(A53="","",(COUNTIF(C53:O53,"Sí")+IF(P53="No",1,0))/14)</f>
        <v/>
      </c>
      <c r="U53" s="10" t="str">
        <f aca="false">IF(A53="","",IF(AND(T53&gt;=0.9,P53="No",OR(R53="Conservar",R53="Modificar")),"Apto para línea base","Revisar"))</f>
        <v/>
      </c>
    </row>
    <row r="54" customFormat="false" ht="15" hidden="false" customHeight="false" outlineLevel="0" collapsed="false">
      <c r="A54" s="18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0"/>
      <c r="R54" s="5"/>
      <c r="S54" s="19"/>
      <c r="T54" s="21" t="str">
        <f aca="false">IF(A54="","",(COUNTIF(C54:O54,"Sí")+IF(P54="No",1,0))/14)</f>
        <v/>
      </c>
      <c r="U54" s="10" t="str">
        <f aca="false">IF(A54="","",IF(AND(T54&gt;=0.9,P54="No",OR(R54="Conservar",R54="Modificar")),"Apto para línea base","Revisar"))</f>
        <v/>
      </c>
    </row>
    <row r="55" customFormat="false" ht="15" hidden="false" customHeight="false" outlineLevel="0" collapsed="false">
      <c r="A55" s="18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0"/>
      <c r="R55" s="5"/>
      <c r="S55" s="19"/>
      <c r="T55" s="21" t="str">
        <f aca="false">IF(A55="","",(COUNTIF(C55:O55,"Sí")+IF(P55="No",1,0))/14)</f>
        <v/>
      </c>
      <c r="U55" s="10" t="str">
        <f aca="false">IF(A55="","",IF(AND(T55&gt;=0.9,P55="No",OR(R55="Conservar",R55="Modificar")),"Apto para línea base","Revisar"))</f>
        <v/>
      </c>
    </row>
    <row r="56" customFormat="false" ht="15" hidden="false" customHeight="false" outlineLevel="0" collapsed="false">
      <c r="A56" s="18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0"/>
      <c r="R56" s="5"/>
      <c r="S56" s="19"/>
      <c r="T56" s="21" t="str">
        <f aca="false">IF(A56="","",(COUNTIF(C56:O56,"Sí")+IF(P56="No",1,0))/14)</f>
        <v/>
      </c>
      <c r="U56" s="10" t="str">
        <f aca="false">IF(A56="","",IF(AND(T56&gt;=0.9,P56="No",OR(R56="Conservar",R56="Modificar")),"Apto para línea base","Revisar"))</f>
        <v/>
      </c>
    </row>
    <row r="57" customFormat="false" ht="15" hidden="false" customHeight="false" outlineLevel="0" collapsed="false">
      <c r="A57" s="18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0"/>
      <c r="R57" s="5"/>
      <c r="S57" s="19"/>
      <c r="T57" s="21" t="str">
        <f aca="false">IF(A57="","",(COUNTIF(C57:O57,"Sí")+IF(P57="No",1,0))/14)</f>
        <v/>
      </c>
      <c r="U57" s="10" t="str">
        <f aca="false">IF(A57="","",IF(AND(T57&gt;=0.9,P57="No",OR(R57="Conservar",R57="Modificar")),"Apto para línea base","Revisar"))</f>
        <v/>
      </c>
    </row>
    <row r="58" customFormat="false" ht="15" hidden="false" customHeight="false" outlineLevel="0" collapsed="false">
      <c r="A58" s="18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0"/>
      <c r="R58" s="5"/>
      <c r="S58" s="19"/>
      <c r="T58" s="21" t="str">
        <f aca="false">IF(A58="","",(COUNTIF(C58:O58,"Sí")+IF(P58="No",1,0))/14)</f>
        <v/>
      </c>
      <c r="U58" s="10" t="str">
        <f aca="false">IF(A58="","",IF(AND(T58&gt;=0.9,P58="No",OR(R58="Conservar",R58="Modificar")),"Apto para línea base","Revisar"))</f>
        <v/>
      </c>
    </row>
    <row r="59" customFormat="false" ht="15" hidden="false" customHeight="false" outlineLevel="0" collapsed="false">
      <c r="A59" s="18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0"/>
      <c r="R59" s="5"/>
      <c r="S59" s="19"/>
      <c r="T59" s="21" t="str">
        <f aca="false">IF(A59="","",(COUNTIF(C59:O59,"Sí")+IF(P59="No",1,0))/14)</f>
        <v/>
      </c>
      <c r="U59" s="10" t="str">
        <f aca="false">IF(A59="","",IF(AND(T59&gt;=0.9,P59="No",OR(R59="Conservar",R59="Modificar")),"Apto para línea base","Revisar"))</f>
        <v/>
      </c>
    </row>
    <row r="60" customFormat="false" ht="15" hidden="false" customHeight="false" outlineLevel="0" collapsed="false">
      <c r="A60" s="18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0"/>
      <c r="R60" s="5"/>
      <c r="S60" s="19"/>
      <c r="T60" s="21" t="str">
        <f aca="false">IF(A60="","",(COUNTIF(C60:O60,"Sí")+IF(P60="No",1,0))/14)</f>
        <v/>
      </c>
      <c r="U60" s="10" t="str">
        <f aca="false">IF(A60="","",IF(AND(T60&gt;=0.9,P60="No",OR(R60="Conservar",R60="Modificar")),"Apto para línea base","Revisar"))</f>
        <v/>
      </c>
    </row>
    <row r="61" customFormat="false" ht="15" hidden="false" customHeight="false" outlineLevel="0" collapsed="false">
      <c r="A61" s="18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0"/>
      <c r="R61" s="5"/>
      <c r="S61" s="19"/>
      <c r="T61" s="21" t="str">
        <f aca="false">IF(A61="","",(COUNTIF(C61:O61,"Sí")+IF(P61="No",1,0))/14)</f>
        <v/>
      </c>
      <c r="U61" s="10" t="str">
        <f aca="false">IF(A61="","",IF(AND(T61&gt;=0.9,P61="No",OR(R61="Conservar",R61="Modificar")),"Apto para línea base","Revisar"))</f>
        <v/>
      </c>
    </row>
    <row r="62" customFormat="false" ht="15" hidden="false" customHeight="false" outlineLevel="0" collapsed="false">
      <c r="A62" s="18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0"/>
      <c r="R62" s="5"/>
      <c r="S62" s="19"/>
      <c r="T62" s="21" t="str">
        <f aca="false">IF(A62="","",(COUNTIF(C62:O62,"Sí")+IF(P62="No",1,0))/14)</f>
        <v/>
      </c>
      <c r="U62" s="10" t="str">
        <f aca="false">IF(A62="","",IF(AND(T62&gt;=0.9,P62="No",OR(R62="Conservar",R62="Modificar")),"Apto para línea base","Revisar"))</f>
        <v/>
      </c>
    </row>
    <row r="63" customFormat="false" ht="15" hidden="false" customHeight="false" outlineLevel="0" collapsed="false">
      <c r="A63" s="18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0"/>
      <c r="R63" s="5"/>
      <c r="S63" s="19"/>
      <c r="T63" s="21" t="str">
        <f aca="false">IF(A63="","",(COUNTIF(C63:O63,"Sí")+IF(P63="No",1,0))/14)</f>
        <v/>
      </c>
      <c r="U63" s="10" t="str">
        <f aca="false">IF(A63="","",IF(AND(T63&gt;=0.9,P63="No",OR(R63="Conservar",R63="Modificar")),"Apto para línea base","Revisar"))</f>
        <v/>
      </c>
    </row>
    <row r="64" customFormat="false" ht="15" hidden="false" customHeight="false" outlineLevel="0" collapsed="false">
      <c r="A64" s="18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0"/>
      <c r="R64" s="5"/>
      <c r="S64" s="19"/>
      <c r="T64" s="21" t="str">
        <f aca="false">IF(A64="","",(COUNTIF(C64:O64,"Sí")+IF(P64="No",1,0))/14)</f>
        <v/>
      </c>
      <c r="U64" s="10" t="str">
        <f aca="false">IF(A64="","",IF(AND(T64&gt;=0.9,P64="No",OR(R64="Conservar",R64="Modificar")),"Apto para línea base","Revisar"))</f>
        <v/>
      </c>
    </row>
    <row r="65" customFormat="false" ht="15" hidden="false" customHeight="false" outlineLevel="0" collapsed="false">
      <c r="A65" s="18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0"/>
      <c r="R65" s="5"/>
      <c r="S65" s="19"/>
      <c r="T65" s="21" t="str">
        <f aca="false">IF(A65="","",(COUNTIF(C65:O65,"Sí")+IF(P65="No",1,0))/14)</f>
        <v/>
      </c>
      <c r="U65" s="10" t="str">
        <f aca="false">IF(A65="","",IF(AND(T65&gt;=0.9,P65="No",OR(R65="Conservar",R65="Modificar")),"Apto para línea base","Revisar"))</f>
        <v/>
      </c>
    </row>
    <row r="66" customFormat="false" ht="15" hidden="false" customHeight="false" outlineLevel="0" collapsed="false">
      <c r="A66" s="18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0"/>
      <c r="R66" s="5"/>
      <c r="S66" s="19"/>
      <c r="T66" s="21" t="str">
        <f aca="false">IF(A66="","",(COUNTIF(C66:O66,"Sí")+IF(P66="No",1,0))/14)</f>
        <v/>
      </c>
      <c r="U66" s="10" t="str">
        <f aca="false">IF(A66="","",IF(AND(T66&gt;=0.9,P66="No",OR(R66="Conservar",R66="Modificar")),"Apto para línea base","Revisar"))</f>
        <v/>
      </c>
    </row>
    <row r="67" customFormat="false" ht="15" hidden="false" customHeight="false" outlineLevel="0" collapsed="false">
      <c r="A67" s="18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0"/>
      <c r="R67" s="5"/>
      <c r="S67" s="19"/>
      <c r="T67" s="21" t="str">
        <f aca="false">IF(A67="","",(COUNTIF(C67:O67,"Sí")+IF(P67="No",1,0))/14)</f>
        <v/>
      </c>
      <c r="U67" s="10" t="str">
        <f aca="false">IF(A67="","",IF(AND(T67&gt;=0.9,P67="No",OR(R67="Conservar",R67="Modificar")),"Apto para línea base","Revisar"))</f>
        <v/>
      </c>
    </row>
    <row r="68" customFormat="false" ht="15" hidden="false" customHeight="false" outlineLevel="0" collapsed="false">
      <c r="A68" s="18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0"/>
      <c r="R68" s="5"/>
      <c r="S68" s="19"/>
      <c r="T68" s="21" t="str">
        <f aca="false">IF(A68="","",(COUNTIF(C68:O68,"Sí")+IF(P68="No",1,0))/14)</f>
        <v/>
      </c>
      <c r="U68" s="10" t="str">
        <f aca="false">IF(A68="","",IF(AND(T68&gt;=0.9,P68="No",OR(R68="Conservar",R68="Modificar")),"Apto para línea base","Revisar"))</f>
        <v/>
      </c>
    </row>
    <row r="69" customFormat="false" ht="15" hidden="false" customHeight="false" outlineLevel="0" collapsed="false">
      <c r="A69" s="18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0"/>
      <c r="R69" s="5"/>
      <c r="S69" s="19"/>
      <c r="T69" s="21" t="str">
        <f aca="false">IF(A69="","",(COUNTIF(C69:O69,"Sí")+IF(P69="No",1,0))/14)</f>
        <v/>
      </c>
      <c r="U69" s="10" t="str">
        <f aca="false">IF(A69="","",IF(AND(T69&gt;=0.9,P69="No",OR(R69="Conservar",R69="Modificar")),"Apto para línea base","Revisar"))</f>
        <v/>
      </c>
    </row>
    <row r="70" customFormat="false" ht="15" hidden="false" customHeight="false" outlineLevel="0" collapsed="false">
      <c r="A70" s="18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0"/>
      <c r="R70" s="5"/>
      <c r="S70" s="19"/>
      <c r="T70" s="21" t="str">
        <f aca="false">IF(A70="","",(COUNTIF(C70:O70,"Sí")+IF(P70="No",1,0))/14)</f>
        <v/>
      </c>
      <c r="U70" s="10" t="str">
        <f aca="false">IF(A70="","",IF(AND(T70&gt;=0.9,P70="No",OR(R70="Conservar",R70="Modificar")),"Apto para línea base","Revisar"))</f>
        <v/>
      </c>
    </row>
    <row r="71" customFormat="false" ht="15" hidden="false" customHeight="false" outlineLevel="0" collapsed="false">
      <c r="A71" s="18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0"/>
      <c r="R71" s="5"/>
      <c r="S71" s="19"/>
      <c r="T71" s="21" t="str">
        <f aca="false">IF(A71="","",(COUNTIF(C71:O71,"Sí")+IF(P71="No",1,0))/14)</f>
        <v/>
      </c>
      <c r="U71" s="10" t="str">
        <f aca="false">IF(A71="","",IF(AND(T71&gt;=0.9,P71="No",OR(R71="Conservar",R71="Modificar")),"Apto para línea base","Revisar"))</f>
        <v/>
      </c>
    </row>
    <row r="72" customFormat="false" ht="15" hidden="false" customHeight="false" outlineLevel="0" collapsed="false">
      <c r="A72" s="18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0"/>
      <c r="R72" s="5"/>
      <c r="S72" s="19"/>
      <c r="T72" s="21" t="str">
        <f aca="false">IF(A72="","",(COUNTIF(C72:O72,"Sí")+IF(P72="No",1,0))/14)</f>
        <v/>
      </c>
      <c r="U72" s="10" t="str">
        <f aca="false">IF(A72="","",IF(AND(T72&gt;=0.9,P72="No",OR(R72="Conservar",R72="Modificar")),"Apto para línea base","Revisar"))</f>
        <v/>
      </c>
    </row>
    <row r="73" customFormat="false" ht="15" hidden="false" customHeight="false" outlineLevel="0" collapsed="false">
      <c r="A73" s="18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0"/>
      <c r="R73" s="5"/>
      <c r="S73" s="19"/>
      <c r="T73" s="21" t="str">
        <f aca="false">IF(A73="","",(COUNTIF(C73:O73,"Sí")+IF(P73="No",1,0))/14)</f>
        <v/>
      </c>
      <c r="U73" s="10" t="str">
        <f aca="false">IF(A73="","",IF(AND(T73&gt;=0.9,P73="No",OR(R73="Conservar",R73="Modificar")),"Apto para línea base","Revisar"))</f>
        <v/>
      </c>
    </row>
    <row r="74" customFormat="false" ht="15" hidden="false" customHeight="false" outlineLevel="0" collapsed="false">
      <c r="A74" s="18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0"/>
      <c r="R74" s="5"/>
      <c r="S74" s="19"/>
      <c r="T74" s="21" t="str">
        <f aca="false">IF(A74="","",(COUNTIF(C74:O74,"Sí")+IF(P74="No",1,0))/14)</f>
        <v/>
      </c>
      <c r="U74" s="10" t="str">
        <f aca="false">IF(A74="","",IF(AND(T74&gt;=0.9,P74="No",OR(R74="Conservar",R74="Modificar")),"Apto para línea base","Revisar"))</f>
        <v/>
      </c>
    </row>
    <row r="75" customFormat="false" ht="15" hidden="false" customHeight="false" outlineLevel="0" collapsed="false">
      <c r="A75" s="18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0"/>
      <c r="R75" s="5"/>
      <c r="S75" s="19"/>
      <c r="T75" s="21" t="str">
        <f aca="false">IF(A75="","",(COUNTIF(C75:O75,"Sí")+IF(P75="No",1,0))/14)</f>
        <v/>
      </c>
      <c r="U75" s="10" t="str">
        <f aca="false">IF(A75="","",IF(AND(T75&gt;=0.9,P75="No",OR(R75="Conservar",R75="Modificar")),"Apto para línea base","Revisar"))</f>
        <v/>
      </c>
    </row>
    <row r="76" customFormat="false" ht="15" hidden="false" customHeight="false" outlineLevel="0" collapsed="false">
      <c r="A76" s="18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0"/>
      <c r="R76" s="5"/>
      <c r="S76" s="19"/>
      <c r="T76" s="21" t="str">
        <f aca="false">IF(A76="","",(COUNTIF(C76:O76,"Sí")+IF(P76="No",1,0))/14)</f>
        <v/>
      </c>
      <c r="U76" s="10" t="str">
        <f aca="false">IF(A76="","",IF(AND(T76&gt;=0.9,P76="No",OR(R76="Conservar",R76="Modificar")),"Apto para línea base","Revisar"))</f>
        <v/>
      </c>
    </row>
    <row r="77" customFormat="false" ht="15" hidden="false" customHeight="false" outlineLevel="0" collapsed="false">
      <c r="A77" s="18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0"/>
      <c r="R77" s="5"/>
      <c r="S77" s="19"/>
      <c r="T77" s="21" t="str">
        <f aca="false">IF(A77="","",(COUNTIF(C77:O77,"Sí")+IF(P77="No",1,0))/14)</f>
        <v/>
      </c>
      <c r="U77" s="10" t="str">
        <f aca="false">IF(A77="","",IF(AND(T77&gt;=0.9,P77="No",OR(R77="Conservar",R77="Modificar")),"Apto para línea base","Revisar"))</f>
        <v/>
      </c>
    </row>
    <row r="78" customFormat="false" ht="15" hidden="false" customHeight="false" outlineLevel="0" collapsed="false">
      <c r="A78" s="18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0"/>
      <c r="R78" s="5"/>
      <c r="S78" s="19"/>
      <c r="T78" s="21" t="str">
        <f aca="false">IF(A78="","",(COUNTIF(C78:O78,"Sí")+IF(P78="No",1,0))/14)</f>
        <v/>
      </c>
      <c r="U78" s="10" t="str">
        <f aca="false">IF(A78="","",IF(AND(T78&gt;=0.9,P78="No",OR(R78="Conservar",R78="Modificar")),"Apto para línea base","Revisar"))</f>
        <v/>
      </c>
    </row>
    <row r="79" customFormat="false" ht="15" hidden="false" customHeight="false" outlineLevel="0" collapsed="false">
      <c r="A79" s="18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0"/>
      <c r="R79" s="5"/>
      <c r="S79" s="19"/>
      <c r="T79" s="21" t="str">
        <f aca="false">IF(A79="","",(COUNTIF(C79:O79,"Sí")+IF(P79="No",1,0))/14)</f>
        <v/>
      </c>
      <c r="U79" s="10" t="str">
        <f aca="false">IF(A79="","",IF(AND(T79&gt;=0.9,P79="No",OR(R79="Conservar",R79="Modificar")),"Apto para línea base","Revisar"))</f>
        <v/>
      </c>
    </row>
    <row r="80" customFormat="false" ht="15" hidden="false" customHeight="false" outlineLevel="0" collapsed="false">
      <c r="A80" s="18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0"/>
      <c r="R80" s="5"/>
      <c r="S80" s="19"/>
      <c r="T80" s="21" t="str">
        <f aca="false">IF(A80="","",(COUNTIF(C80:O80,"Sí")+IF(P80="No",1,0))/14)</f>
        <v/>
      </c>
      <c r="U80" s="10" t="str">
        <f aca="false">IF(A80="","",IF(AND(T80&gt;=0.9,P80="No",OR(R80="Conservar",R80="Modificar")),"Apto para línea base","Revisar"))</f>
        <v/>
      </c>
    </row>
    <row r="81" customFormat="false" ht="15" hidden="false" customHeight="false" outlineLevel="0" collapsed="false">
      <c r="A81" s="18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0"/>
      <c r="R81" s="5"/>
      <c r="S81" s="19"/>
      <c r="T81" s="21" t="str">
        <f aca="false">IF(A81="","",(COUNTIF(C81:O81,"Sí")+IF(P81="No",1,0))/14)</f>
        <v/>
      </c>
      <c r="U81" s="10" t="str">
        <f aca="false">IF(A81="","",IF(AND(T81&gt;=0.9,P81="No",OR(R81="Conservar",R81="Modificar")),"Apto para línea base","Revisar"))</f>
        <v/>
      </c>
    </row>
    <row r="82" customFormat="false" ht="15" hidden="false" customHeight="false" outlineLevel="0" collapsed="false">
      <c r="A82" s="18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0"/>
      <c r="R82" s="5"/>
      <c r="S82" s="19"/>
      <c r="T82" s="21" t="str">
        <f aca="false">IF(A82="","",(COUNTIF(C82:O82,"Sí")+IF(P82="No",1,0))/14)</f>
        <v/>
      </c>
      <c r="U82" s="10" t="str">
        <f aca="false">IF(A82="","",IF(AND(T82&gt;=0.9,P82="No",OR(R82="Conservar",R82="Modificar")),"Apto para línea base","Revisar"))</f>
        <v/>
      </c>
    </row>
    <row r="83" customFormat="false" ht="15" hidden="false" customHeight="false" outlineLevel="0" collapsed="false">
      <c r="A83" s="18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0"/>
      <c r="R83" s="5"/>
      <c r="S83" s="19"/>
      <c r="T83" s="21" t="str">
        <f aca="false">IF(A83="","",(COUNTIF(C83:O83,"Sí")+IF(P83="No",1,0))/14)</f>
        <v/>
      </c>
      <c r="U83" s="10" t="str">
        <f aca="false">IF(A83="","",IF(AND(T83&gt;=0.9,P83="No",OR(R83="Conservar",R83="Modificar")),"Apto para línea base","Revisar"))</f>
        <v/>
      </c>
    </row>
    <row r="84" customFormat="false" ht="15" hidden="false" customHeight="false" outlineLevel="0" collapsed="false">
      <c r="A84" s="18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0"/>
      <c r="R84" s="5"/>
      <c r="S84" s="19"/>
      <c r="T84" s="21" t="str">
        <f aca="false">IF(A84="","",(COUNTIF(C84:O84,"Sí")+IF(P84="No",1,0))/14)</f>
        <v/>
      </c>
      <c r="U84" s="10" t="str">
        <f aca="false">IF(A84="","",IF(AND(T84&gt;=0.9,P84="No",OR(R84="Conservar",R84="Modificar")),"Apto para línea base","Revisar"))</f>
        <v/>
      </c>
    </row>
    <row r="85" customFormat="false" ht="15" hidden="false" customHeight="false" outlineLevel="0" collapsed="false">
      <c r="A85" s="18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0"/>
      <c r="R85" s="5"/>
      <c r="S85" s="19"/>
      <c r="T85" s="21" t="str">
        <f aca="false">IF(A85="","",(COUNTIF(C85:O85,"Sí")+IF(P85="No",1,0))/14)</f>
        <v/>
      </c>
      <c r="U85" s="10" t="str">
        <f aca="false">IF(A85="","",IF(AND(T85&gt;=0.9,P85="No",OR(R85="Conservar",R85="Modificar")),"Apto para línea base","Revisar"))</f>
        <v/>
      </c>
    </row>
    <row r="86" customFormat="false" ht="15" hidden="false" customHeight="false" outlineLevel="0" collapsed="false">
      <c r="A86" s="18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0"/>
      <c r="R86" s="5"/>
      <c r="S86" s="19"/>
      <c r="T86" s="21" t="str">
        <f aca="false">IF(A86="","",(COUNTIF(C86:O86,"Sí")+IF(P86="No",1,0))/14)</f>
        <v/>
      </c>
      <c r="U86" s="10" t="str">
        <f aca="false">IF(A86="","",IF(AND(T86&gt;=0.9,P86="No",OR(R86="Conservar",R86="Modificar")),"Apto para línea base","Revisar"))</f>
        <v/>
      </c>
    </row>
    <row r="87" customFormat="false" ht="15" hidden="false" customHeight="false" outlineLevel="0" collapsed="false">
      <c r="A87" s="18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0"/>
      <c r="R87" s="5"/>
      <c r="S87" s="19"/>
      <c r="T87" s="21" t="str">
        <f aca="false">IF(A87="","",(COUNTIF(C87:O87,"Sí")+IF(P87="No",1,0))/14)</f>
        <v/>
      </c>
      <c r="U87" s="10" t="str">
        <f aca="false">IF(A87="","",IF(AND(T87&gt;=0.9,P87="No",OR(R87="Conservar",R87="Modificar")),"Apto para línea base","Revisar"))</f>
        <v/>
      </c>
    </row>
    <row r="88" customFormat="false" ht="15" hidden="false" customHeight="false" outlineLevel="0" collapsed="false">
      <c r="A88" s="18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0"/>
      <c r="R88" s="5"/>
      <c r="S88" s="19"/>
      <c r="T88" s="21" t="str">
        <f aca="false">IF(A88="","",(COUNTIF(C88:O88,"Sí")+IF(P88="No",1,0))/14)</f>
        <v/>
      </c>
      <c r="U88" s="10" t="str">
        <f aca="false">IF(A88="","",IF(AND(T88&gt;=0.9,P88="No",OR(R88="Conservar",R88="Modificar")),"Apto para línea base","Revisar"))</f>
        <v/>
      </c>
    </row>
    <row r="89" customFormat="false" ht="15" hidden="false" customHeight="false" outlineLevel="0" collapsed="false">
      <c r="A89" s="18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0"/>
      <c r="R89" s="5"/>
      <c r="S89" s="19"/>
      <c r="T89" s="21" t="str">
        <f aca="false">IF(A89="","",(COUNTIF(C89:O89,"Sí")+IF(P89="No",1,0))/14)</f>
        <v/>
      </c>
      <c r="U89" s="10" t="str">
        <f aca="false">IF(A89="","",IF(AND(T89&gt;=0.9,P89="No",OR(R89="Conservar",R89="Modificar")),"Apto para línea base","Revisar"))</f>
        <v/>
      </c>
    </row>
    <row r="90" customFormat="false" ht="15" hidden="false" customHeight="false" outlineLevel="0" collapsed="false">
      <c r="A90" s="18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0"/>
      <c r="R90" s="5"/>
      <c r="S90" s="19"/>
      <c r="T90" s="21" t="str">
        <f aca="false">IF(A90="","",(COUNTIF(C90:O90,"Sí")+IF(P90="No",1,0))/14)</f>
        <v/>
      </c>
      <c r="U90" s="10" t="str">
        <f aca="false">IF(A90="","",IF(AND(T90&gt;=0.9,P90="No",OR(R90="Conservar",R90="Modificar")),"Apto para línea base","Revisar"))</f>
        <v/>
      </c>
    </row>
    <row r="91" customFormat="false" ht="15" hidden="false" customHeight="false" outlineLevel="0" collapsed="false">
      <c r="A91" s="18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0"/>
      <c r="R91" s="5"/>
      <c r="S91" s="19"/>
      <c r="T91" s="21" t="str">
        <f aca="false">IF(A91="","",(COUNTIF(C91:O91,"Sí")+IF(P91="No",1,0))/14)</f>
        <v/>
      </c>
      <c r="U91" s="10" t="str">
        <f aca="false">IF(A91="","",IF(AND(T91&gt;=0.9,P91="No",OR(R91="Conservar",R91="Modificar")),"Apto para línea base","Revisar"))</f>
        <v/>
      </c>
    </row>
    <row r="92" customFormat="false" ht="15" hidden="false" customHeight="false" outlineLevel="0" collapsed="false">
      <c r="A92" s="18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0"/>
      <c r="R92" s="5"/>
      <c r="S92" s="19"/>
      <c r="T92" s="21" t="str">
        <f aca="false">IF(A92="","",(COUNTIF(C92:O92,"Sí")+IF(P92="No",1,0))/14)</f>
        <v/>
      </c>
      <c r="U92" s="10" t="str">
        <f aca="false">IF(A92="","",IF(AND(T92&gt;=0.9,P92="No",OR(R92="Conservar",R92="Modificar")),"Apto para línea base","Revisar"))</f>
        <v/>
      </c>
    </row>
    <row r="93" customFormat="false" ht="15" hidden="false" customHeight="false" outlineLevel="0" collapsed="false">
      <c r="A93" s="18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0"/>
      <c r="R93" s="5"/>
      <c r="S93" s="19"/>
      <c r="T93" s="21" t="str">
        <f aca="false">IF(A93="","",(COUNTIF(C93:O93,"Sí")+IF(P93="No",1,0))/14)</f>
        <v/>
      </c>
      <c r="U93" s="10" t="str">
        <f aca="false">IF(A93="","",IF(AND(T93&gt;=0.9,P93="No",OR(R93="Conservar",R93="Modificar")),"Apto para línea base","Revisar"))</f>
        <v/>
      </c>
    </row>
    <row r="94" customFormat="false" ht="15" hidden="false" customHeight="false" outlineLevel="0" collapsed="false">
      <c r="A94" s="18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0"/>
      <c r="R94" s="5"/>
      <c r="S94" s="19"/>
      <c r="T94" s="21" t="str">
        <f aca="false">IF(A94="","",(COUNTIF(C94:O94,"Sí")+IF(P94="No",1,0))/14)</f>
        <v/>
      </c>
      <c r="U94" s="10" t="str">
        <f aca="false">IF(A94="","",IF(AND(T94&gt;=0.9,P94="No",OR(R94="Conservar",R94="Modificar")),"Apto para línea base","Revisar"))</f>
        <v/>
      </c>
    </row>
    <row r="95" customFormat="false" ht="15" hidden="false" customHeight="false" outlineLevel="0" collapsed="false">
      <c r="A95" s="18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0"/>
      <c r="R95" s="5"/>
      <c r="S95" s="19"/>
      <c r="T95" s="21" t="str">
        <f aca="false">IF(A95="","",(COUNTIF(C95:O95,"Sí")+IF(P95="No",1,0))/14)</f>
        <v/>
      </c>
      <c r="U95" s="10" t="str">
        <f aca="false">IF(A95="","",IF(AND(T95&gt;=0.9,P95="No",OR(R95="Conservar",R95="Modificar")),"Apto para línea base","Revisar"))</f>
        <v/>
      </c>
    </row>
    <row r="96" customFormat="false" ht="15" hidden="false" customHeight="false" outlineLevel="0" collapsed="false">
      <c r="A96" s="18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0"/>
      <c r="R96" s="5"/>
      <c r="S96" s="19"/>
      <c r="T96" s="21" t="str">
        <f aca="false">IF(A96="","",(COUNTIF(C96:O96,"Sí")+IF(P96="No",1,0))/14)</f>
        <v/>
      </c>
      <c r="U96" s="10" t="str">
        <f aca="false">IF(A96="","",IF(AND(T96&gt;=0.9,P96="No",OR(R96="Conservar",R96="Modificar")),"Apto para línea base","Revisar"))</f>
        <v/>
      </c>
    </row>
    <row r="97" customFormat="false" ht="15" hidden="false" customHeight="false" outlineLevel="0" collapsed="false">
      <c r="A97" s="18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0"/>
      <c r="R97" s="5"/>
      <c r="S97" s="19"/>
      <c r="T97" s="21" t="str">
        <f aca="false">IF(A97="","",(COUNTIF(C97:O97,"Sí")+IF(P97="No",1,0))/14)</f>
        <v/>
      </c>
      <c r="U97" s="10" t="str">
        <f aca="false">IF(A97="","",IF(AND(T97&gt;=0.9,P97="No",OR(R97="Conservar",R97="Modificar")),"Apto para línea base","Revisar"))</f>
        <v/>
      </c>
    </row>
    <row r="98" customFormat="false" ht="15" hidden="false" customHeight="false" outlineLevel="0" collapsed="false">
      <c r="A98" s="18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0"/>
      <c r="R98" s="5"/>
      <c r="S98" s="19"/>
      <c r="T98" s="21" t="str">
        <f aca="false">IF(A98="","",(COUNTIF(C98:O98,"Sí")+IF(P98="No",1,0))/14)</f>
        <v/>
      </c>
      <c r="U98" s="10" t="str">
        <f aca="false">IF(A98="","",IF(AND(T98&gt;=0.9,P98="No",OR(R98="Conservar",R98="Modificar")),"Apto para línea base","Revisar"))</f>
        <v/>
      </c>
    </row>
    <row r="99" customFormat="false" ht="15" hidden="false" customHeight="false" outlineLevel="0" collapsed="false">
      <c r="A99" s="18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0"/>
      <c r="R99" s="5"/>
      <c r="S99" s="19"/>
      <c r="T99" s="21" t="str">
        <f aca="false">IF(A99="","",(COUNTIF(C99:O99,"Sí")+IF(P99="No",1,0))/14)</f>
        <v/>
      </c>
      <c r="U99" s="10" t="str">
        <f aca="false">IF(A99="","",IF(AND(T99&gt;=0.9,P99="No",OR(R99="Conservar",R99="Modificar")),"Apto para línea base","Revisar"))</f>
        <v/>
      </c>
    </row>
    <row r="100" customFormat="false" ht="15" hidden="false" customHeight="false" outlineLevel="0" collapsed="false">
      <c r="A100" s="18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0"/>
      <c r="R100" s="5"/>
      <c r="S100" s="19"/>
      <c r="T100" s="21" t="str">
        <f aca="false">IF(A100="","",(COUNTIF(C100:O100,"Sí")+IF(P100="No",1,0))/14)</f>
        <v/>
      </c>
      <c r="U100" s="10" t="str">
        <f aca="false">IF(A100="","",IF(AND(T100&gt;=0.9,P100="No",OR(R100="Conservar",R100="Modificar")),"Apto para línea base","Revisar"))</f>
        <v/>
      </c>
    </row>
    <row r="101" customFormat="false" ht="15" hidden="false" customHeight="false" outlineLevel="0" collapsed="false">
      <c r="A101" s="18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0"/>
      <c r="R101" s="5"/>
      <c r="S101" s="19"/>
      <c r="T101" s="21" t="str">
        <f aca="false">IF(A101="","",(COUNTIF(C101:O101,"Sí")+IF(P101="No",1,0))/14)</f>
        <v/>
      </c>
      <c r="U101" s="10" t="str">
        <f aca="false">IF(A101="","",IF(AND(T101&gt;=0.9,P101="No",OR(R101="Conservar",R101="Modificar")),"Apto para línea base","Revisar"))</f>
        <v/>
      </c>
    </row>
    <row r="102" customFormat="false" ht="15" hidden="false" customHeight="false" outlineLevel="0" collapsed="false">
      <c r="A102" s="18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0"/>
      <c r="R102" s="5"/>
      <c r="S102" s="19"/>
      <c r="T102" s="21" t="str">
        <f aca="false">IF(A102="","",(COUNTIF(C102:O102,"Sí")+IF(P102="No",1,0))/14)</f>
        <v/>
      </c>
      <c r="U102" s="10" t="str">
        <f aca="false">IF(A102="","",IF(AND(T102&gt;=0.9,P102="No",OR(R102="Conservar",R102="Modificar")),"Apto para línea base","Revisar"))</f>
        <v/>
      </c>
    </row>
    <row r="103" customFormat="false" ht="15" hidden="false" customHeight="false" outlineLevel="0" collapsed="false">
      <c r="A103" s="18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0"/>
      <c r="R103" s="5"/>
      <c r="S103" s="19"/>
      <c r="T103" s="21" t="str">
        <f aca="false">IF(A103="","",(COUNTIF(C103:O103,"Sí")+IF(P103="No",1,0))/14)</f>
        <v/>
      </c>
      <c r="U103" s="10" t="str">
        <f aca="false">IF(A103="","",IF(AND(T103&gt;=0.9,P103="No",OR(R103="Conservar",R103="Modificar")),"Apto para línea base","Revisar"))</f>
        <v/>
      </c>
    </row>
    <row r="104" customFormat="false" ht="15" hidden="false" customHeight="false" outlineLevel="0" collapsed="false">
      <c r="A104" s="18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0"/>
      <c r="R104" s="5"/>
      <c r="S104" s="19"/>
      <c r="T104" s="21" t="str">
        <f aca="false">IF(A104="","",(COUNTIF(C104:O104,"Sí")+IF(P104="No",1,0))/14)</f>
        <v/>
      </c>
      <c r="U104" s="10" t="str">
        <f aca="false">IF(A104="","",IF(AND(T104&gt;=0.9,P104="No",OR(R104="Conservar",R104="Modificar")),"Apto para línea base","Revisar"))</f>
        <v/>
      </c>
    </row>
    <row r="105" customFormat="false" ht="15" hidden="false" customHeight="false" outlineLevel="0" collapsed="false">
      <c r="A105" s="18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0"/>
      <c r="R105" s="5"/>
      <c r="S105" s="19"/>
      <c r="T105" s="21" t="str">
        <f aca="false">IF(A105="","",(COUNTIF(C105:O105,"Sí")+IF(P105="No",1,0))/14)</f>
        <v/>
      </c>
      <c r="U105" s="10" t="str">
        <f aca="false">IF(A105="","",IF(AND(T105&gt;=0.9,P105="No",OR(R105="Conservar",R105="Modificar")),"Apto para línea base","Revisar"))</f>
        <v/>
      </c>
    </row>
    <row r="106" customFormat="false" ht="15" hidden="false" customHeight="false" outlineLevel="0" collapsed="false">
      <c r="A106" s="18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0"/>
      <c r="R106" s="5"/>
      <c r="S106" s="19"/>
      <c r="T106" s="21" t="str">
        <f aca="false">IF(A106="","",(COUNTIF(C106:O106,"Sí")+IF(P106="No",1,0))/14)</f>
        <v/>
      </c>
      <c r="U106" s="10" t="str">
        <f aca="false">IF(A106="","",IF(AND(T106&gt;=0.9,P106="No",OR(R106="Conservar",R106="Modificar")),"Apto para línea base","Revisar"))</f>
        <v/>
      </c>
    </row>
    <row r="107" customFormat="false" ht="15" hidden="false" customHeight="false" outlineLevel="0" collapsed="false">
      <c r="A107" s="18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0"/>
      <c r="R107" s="5"/>
      <c r="S107" s="19"/>
      <c r="T107" s="21" t="str">
        <f aca="false">IF(A107="","",(COUNTIF(C107:O107,"Sí")+IF(P107="No",1,0))/14)</f>
        <v/>
      </c>
      <c r="U107" s="10" t="str">
        <f aca="false">IF(A107="","",IF(AND(T107&gt;=0.9,P107="No",OR(R107="Conservar",R107="Modificar")),"Apto para línea base","Revisar"))</f>
        <v/>
      </c>
    </row>
    <row r="108" customFormat="false" ht="15" hidden="false" customHeight="false" outlineLevel="0" collapsed="false">
      <c r="A108" s="18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0"/>
      <c r="R108" s="5"/>
      <c r="S108" s="19"/>
      <c r="T108" s="21" t="str">
        <f aca="false">IF(A108="","",(COUNTIF(C108:O108,"Sí")+IF(P108="No",1,0))/14)</f>
        <v/>
      </c>
      <c r="U108" s="10" t="str">
        <f aca="false">IF(A108="","",IF(AND(T108&gt;=0.9,P108="No",OR(R108="Conservar",R108="Modificar")),"Apto para línea base","Revisar"))</f>
        <v/>
      </c>
    </row>
    <row r="109" customFormat="false" ht="15" hidden="false" customHeight="false" outlineLevel="0" collapsed="false">
      <c r="A109" s="18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0"/>
      <c r="R109" s="5"/>
      <c r="S109" s="19"/>
      <c r="T109" s="21" t="str">
        <f aca="false">IF(A109="","",(COUNTIF(C109:O109,"Sí")+IF(P109="No",1,0))/14)</f>
        <v/>
      </c>
      <c r="U109" s="10" t="str">
        <f aca="false">IF(A109="","",IF(AND(T109&gt;=0.9,P109="No",OR(R109="Conservar",R109="Modificar")),"Apto para línea base","Revisar"))</f>
        <v/>
      </c>
    </row>
    <row r="110" customFormat="false" ht="15" hidden="false" customHeight="false" outlineLevel="0" collapsed="false">
      <c r="A110" s="18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0"/>
      <c r="R110" s="5"/>
      <c r="S110" s="19"/>
      <c r="T110" s="21" t="str">
        <f aca="false">IF(A110="","",(COUNTIF(C110:O110,"Sí")+IF(P110="No",1,0))/14)</f>
        <v/>
      </c>
      <c r="U110" s="10" t="str">
        <f aca="false">IF(A110="","",IF(AND(T110&gt;=0.9,P110="No",OR(R110="Conservar",R110="Modificar")),"Apto para línea base","Revisar"))</f>
        <v/>
      </c>
    </row>
    <row r="111" customFormat="false" ht="15" hidden="false" customHeight="false" outlineLevel="0" collapsed="false">
      <c r="A111" s="18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0"/>
      <c r="R111" s="5"/>
      <c r="S111" s="19"/>
      <c r="T111" s="21" t="str">
        <f aca="false">IF(A111="","",(COUNTIF(C111:O111,"Sí")+IF(P111="No",1,0))/14)</f>
        <v/>
      </c>
      <c r="U111" s="10" t="str">
        <f aca="false">IF(A111="","",IF(AND(T111&gt;=0.9,P111="No",OR(R111="Conservar",R111="Modificar")),"Apto para línea base","Revisar"))</f>
        <v/>
      </c>
    </row>
    <row r="112" customFormat="false" ht="15" hidden="false" customHeight="false" outlineLevel="0" collapsed="false">
      <c r="A112" s="18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0"/>
      <c r="R112" s="5"/>
      <c r="S112" s="19"/>
      <c r="T112" s="21" t="str">
        <f aca="false">IF(A112="","",(COUNTIF(C112:O112,"Sí")+IF(P112="No",1,0))/14)</f>
        <v/>
      </c>
      <c r="U112" s="10" t="str">
        <f aca="false">IF(A112="","",IF(AND(T112&gt;=0.9,P112="No",OR(R112="Conservar",R112="Modificar")),"Apto para línea base","Revisar"))</f>
        <v/>
      </c>
    </row>
    <row r="113" customFormat="false" ht="15" hidden="false" customHeight="false" outlineLevel="0" collapsed="false">
      <c r="A113" s="18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0"/>
      <c r="R113" s="5"/>
      <c r="S113" s="19"/>
      <c r="T113" s="21" t="str">
        <f aca="false">IF(A113="","",(COUNTIF(C113:O113,"Sí")+IF(P113="No",1,0))/14)</f>
        <v/>
      </c>
      <c r="U113" s="10" t="str">
        <f aca="false">IF(A113="","",IF(AND(T113&gt;=0.9,P113="No",OR(R113="Conservar",R113="Modificar")),"Apto para línea base","Revisar"))</f>
        <v/>
      </c>
    </row>
    <row r="114" customFormat="false" ht="15" hidden="false" customHeight="false" outlineLevel="0" collapsed="false">
      <c r="A114" s="18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0"/>
      <c r="R114" s="5"/>
      <c r="S114" s="19"/>
      <c r="T114" s="21" t="str">
        <f aca="false">IF(A114="","",(COUNTIF(C114:O114,"Sí")+IF(P114="No",1,0))/14)</f>
        <v/>
      </c>
      <c r="U114" s="10" t="str">
        <f aca="false">IF(A114="","",IF(AND(T114&gt;=0.9,P114="No",OR(R114="Conservar",R114="Modificar")),"Apto para línea base","Revisar"))</f>
        <v/>
      </c>
    </row>
    <row r="115" customFormat="false" ht="15" hidden="false" customHeight="false" outlineLevel="0" collapsed="false">
      <c r="A115" s="18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0"/>
      <c r="R115" s="5"/>
      <c r="S115" s="19"/>
      <c r="T115" s="21" t="str">
        <f aca="false">IF(A115="","",(COUNTIF(C115:O115,"Sí")+IF(P115="No",1,0))/14)</f>
        <v/>
      </c>
      <c r="U115" s="10" t="str">
        <f aca="false">IF(A115="","",IF(AND(T115&gt;=0.9,P115="No",OR(R115="Conservar",R115="Modificar")),"Apto para línea base","Revisar"))</f>
        <v/>
      </c>
    </row>
    <row r="116" customFormat="false" ht="15" hidden="false" customHeight="false" outlineLevel="0" collapsed="false">
      <c r="A116" s="18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0"/>
      <c r="R116" s="5"/>
      <c r="S116" s="19"/>
      <c r="T116" s="21" t="str">
        <f aca="false">IF(A116="","",(COUNTIF(C116:O116,"Sí")+IF(P116="No",1,0))/14)</f>
        <v/>
      </c>
      <c r="U116" s="10" t="str">
        <f aca="false">IF(A116="","",IF(AND(T116&gt;=0.9,P116="No",OR(R116="Conservar",R116="Modificar")),"Apto para línea base","Revisar"))</f>
        <v/>
      </c>
    </row>
    <row r="117" customFormat="false" ht="15" hidden="false" customHeight="false" outlineLevel="0" collapsed="false">
      <c r="A117" s="18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0"/>
      <c r="R117" s="5"/>
      <c r="S117" s="19"/>
      <c r="T117" s="21" t="str">
        <f aca="false">IF(A117="","",(COUNTIF(C117:O117,"Sí")+IF(P117="No",1,0))/14)</f>
        <v/>
      </c>
      <c r="U117" s="10" t="str">
        <f aca="false">IF(A117="","",IF(AND(T117&gt;=0.9,P117="No",OR(R117="Conservar",R117="Modificar")),"Apto para línea base","Revisar"))</f>
        <v/>
      </c>
    </row>
    <row r="118" customFormat="false" ht="15" hidden="false" customHeight="false" outlineLevel="0" collapsed="false">
      <c r="A118" s="18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0"/>
      <c r="R118" s="5"/>
      <c r="S118" s="19"/>
      <c r="T118" s="21" t="str">
        <f aca="false">IF(A118="","",(COUNTIF(C118:O118,"Sí")+IF(P118="No",1,0))/14)</f>
        <v/>
      </c>
      <c r="U118" s="10" t="str">
        <f aca="false">IF(A118="","",IF(AND(T118&gt;=0.9,P118="No",OR(R118="Conservar",R118="Modificar")),"Apto para línea base","Revisar"))</f>
        <v/>
      </c>
    </row>
    <row r="119" customFormat="false" ht="15" hidden="false" customHeight="false" outlineLevel="0" collapsed="false">
      <c r="A119" s="18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0"/>
      <c r="R119" s="5"/>
      <c r="S119" s="19"/>
      <c r="T119" s="21" t="str">
        <f aca="false">IF(A119="","",(COUNTIF(C119:O119,"Sí")+IF(P119="No",1,0))/14)</f>
        <v/>
      </c>
      <c r="U119" s="10" t="str">
        <f aca="false">IF(A119="","",IF(AND(T119&gt;=0.9,P119="No",OR(R119="Conservar",R119="Modificar")),"Apto para línea base","Revisar"))</f>
        <v/>
      </c>
    </row>
    <row r="120" customFormat="false" ht="15" hidden="false" customHeight="false" outlineLevel="0" collapsed="false">
      <c r="A120" s="18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0"/>
      <c r="R120" s="5"/>
      <c r="S120" s="19"/>
      <c r="T120" s="21" t="str">
        <f aca="false">IF(A120="","",(COUNTIF(C120:O120,"Sí")+IF(P120="No",1,0))/14)</f>
        <v/>
      </c>
      <c r="U120" s="10" t="str">
        <f aca="false">IF(A120="","",IF(AND(T120&gt;=0.9,P120="No",OR(R120="Conservar",R120="Modificar")),"Apto para línea base","Revisar"))</f>
        <v/>
      </c>
    </row>
    <row r="121" customFormat="false" ht="15" hidden="false" customHeight="false" outlineLevel="0" collapsed="false">
      <c r="A121" s="18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0"/>
      <c r="R121" s="5"/>
      <c r="S121" s="19"/>
      <c r="T121" s="21" t="str">
        <f aca="false">IF(A121="","",(COUNTIF(C121:O121,"Sí")+IF(P121="No",1,0))/14)</f>
        <v/>
      </c>
      <c r="U121" s="10" t="str">
        <f aca="false">IF(A121="","",IF(AND(T121&gt;=0.9,P121="No",OR(R121="Conservar",R121="Modificar")),"Apto para línea base","Revisar"))</f>
        <v/>
      </c>
    </row>
    <row r="122" customFormat="false" ht="15" hidden="false" customHeight="false" outlineLevel="0" collapsed="false">
      <c r="A122" s="18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0"/>
      <c r="R122" s="5"/>
      <c r="S122" s="19"/>
      <c r="T122" s="21" t="str">
        <f aca="false">IF(A122="","",(COUNTIF(C122:O122,"Sí")+IF(P122="No",1,0))/14)</f>
        <v/>
      </c>
      <c r="U122" s="10" t="str">
        <f aca="false">IF(A122="","",IF(AND(T122&gt;=0.9,P122="No",OR(R122="Conservar",R122="Modificar")),"Apto para línea base","Revisar"))</f>
        <v/>
      </c>
    </row>
    <row r="123" customFormat="false" ht="15" hidden="false" customHeight="false" outlineLevel="0" collapsed="false">
      <c r="A123" s="18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0"/>
      <c r="R123" s="5"/>
      <c r="S123" s="19"/>
      <c r="T123" s="21" t="str">
        <f aca="false">IF(A123="","",(COUNTIF(C123:O123,"Sí")+IF(P123="No",1,0))/14)</f>
        <v/>
      </c>
      <c r="U123" s="10" t="str">
        <f aca="false">IF(A123="","",IF(AND(T123&gt;=0.9,P123="No",OR(R123="Conservar",R123="Modificar")),"Apto para línea base","Revisar"))</f>
        <v/>
      </c>
    </row>
    <row r="124" customFormat="false" ht="15" hidden="false" customHeight="false" outlineLevel="0" collapsed="false">
      <c r="A124" s="18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0"/>
      <c r="R124" s="5"/>
      <c r="S124" s="19"/>
      <c r="T124" s="21" t="str">
        <f aca="false">IF(A124="","",(COUNTIF(C124:O124,"Sí")+IF(P124="No",1,0))/14)</f>
        <v/>
      </c>
      <c r="U124" s="10" t="str">
        <f aca="false">IF(A124="","",IF(AND(T124&gt;=0.9,P124="No",OR(R124="Conservar",R124="Modificar")),"Apto para línea base","Revisar"))</f>
        <v/>
      </c>
    </row>
    <row r="125" customFormat="false" ht="15" hidden="false" customHeight="false" outlineLevel="0" collapsed="false">
      <c r="A125" s="18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0"/>
      <c r="R125" s="5"/>
      <c r="S125" s="19"/>
      <c r="T125" s="21" t="str">
        <f aca="false">IF(A125="","",(COUNTIF(C125:O125,"Sí")+IF(P125="No",1,0))/14)</f>
        <v/>
      </c>
      <c r="U125" s="10" t="str">
        <f aca="false">IF(A125="","",IF(AND(T125&gt;=0.9,P125="No",OR(R125="Conservar",R125="Modificar")),"Apto para línea base","Revisar"))</f>
        <v/>
      </c>
    </row>
    <row r="126" customFormat="false" ht="15" hidden="false" customHeight="false" outlineLevel="0" collapsed="false">
      <c r="A126" s="18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0"/>
      <c r="R126" s="5"/>
      <c r="S126" s="19"/>
      <c r="T126" s="21" t="str">
        <f aca="false">IF(A126="","",(COUNTIF(C126:O126,"Sí")+IF(P126="No",1,0))/14)</f>
        <v/>
      </c>
      <c r="U126" s="10" t="str">
        <f aca="false">IF(A126="","",IF(AND(T126&gt;=0.9,P126="No",OR(R126="Conservar",R126="Modificar")),"Apto para línea base","Revisar"))</f>
        <v/>
      </c>
    </row>
    <row r="127" customFormat="false" ht="15" hidden="false" customHeight="false" outlineLevel="0" collapsed="false">
      <c r="A127" s="18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0"/>
      <c r="R127" s="5"/>
      <c r="S127" s="19"/>
      <c r="T127" s="21" t="str">
        <f aca="false">IF(A127="","",(COUNTIF(C127:O127,"Sí")+IF(P127="No",1,0))/14)</f>
        <v/>
      </c>
      <c r="U127" s="10" t="str">
        <f aca="false">IF(A127="","",IF(AND(T127&gt;=0.9,P127="No",OR(R127="Conservar",R127="Modificar")),"Apto para línea base","Revisar"))</f>
        <v/>
      </c>
    </row>
    <row r="128" customFormat="false" ht="15" hidden="false" customHeight="false" outlineLevel="0" collapsed="false">
      <c r="A128" s="18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0"/>
      <c r="R128" s="5"/>
      <c r="S128" s="19"/>
      <c r="T128" s="21" t="str">
        <f aca="false">IF(A128="","",(COUNTIF(C128:O128,"Sí")+IF(P128="No",1,0))/14)</f>
        <v/>
      </c>
      <c r="U128" s="10" t="str">
        <f aca="false">IF(A128="","",IF(AND(T128&gt;=0.9,P128="No",OR(R128="Conservar",R128="Modificar")),"Apto para línea base","Revisar"))</f>
        <v/>
      </c>
    </row>
    <row r="129" customFormat="false" ht="15" hidden="false" customHeight="false" outlineLevel="0" collapsed="false">
      <c r="A129" s="18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0"/>
      <c r="R129" s="5"/>
      <c r="S129" s="19"/>
      <c r="T129" s="21" t="str">
        <f aca="false">IF(A129="","",(COUNTIF(C129:O129,"Sí")+IF(P129="No",1,0))/14)</f>
        <v/>
      </c>
      <c r="U129" s="10" t="str">
        <f aca="false">IF(A129="","",IF(AND(T129&gt;=0.9,P129="No",OR(R129="Conservar",R129="Modificar")),"Apto para línea base","Revisar"))</f>
        <v/>
      </c>
    </row>
    <row r="130" customFormat="false" ht="15" hidden="false" customHeight="false" outlineLevel="0" collapsed="false">
      <c r="A130" s="18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0"/>
      <c r="R130" s="5"/>
      <c r="S130" s="19"/>
      <c r="T130" s="21" t="str">
        <f aca="false">IF(A130="","",(COUNTIF(C130:O130,"Sí")+IF(P130="No",1,0))/14)</f>
        <v/>
      </c>
      <c r="U130" s="10" t="str">
        <f aca="false">IF(A130="","",IF(AND(T130&gt;=0.9,P130="No",OR(R130="Conservar",R130="Modificar")),"Apto para línea base","Revisar"))</f>
        <v/>
      </c>
    </row>
    <row r="131" customFormat="false" ht="15" hidden="false" customHeight="false" outlineLevel="0" collapsed="false">
      <c r="A131" s="18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0"/>
      <c r="R131" s="5"/>
      <c r="S131" s="19"/>
      <c r="T131" s="21" t="str">
        <f aca="false">IF(A131="","",(COUNTIF(C131:O131,"Sí")+IF(P131="No",1,0))/14)</f>
        <v/>
      </c>
      <c r="U131" s="10" t="str">
        <f aca="false">IF(A131="","",IF(AND(T131&gt;=0.9,P131="No",OR(R131="Conservar",R131="Modificar")),"Apto para línea base","Revisar"))</f>
        <v/>
      </c>
    </row>
    <row r="132" customFormat="false" ht="15" hidden="false" customHeight="false" outlineLevel="0" collapsed="false">
      <c r="A132" s="18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0"/>
      <c r="R132" s="5"/>
      <c r="S132" s="19"/>
      <c r="T132" s="21" t="str">
        <f aca="false">IF(A132="","",(COUNTIF(C132:O132,"Sí")+IF(P132="No",1,0))/14)</f>
        <v/>
      </c>
      <c r="U132" s="10" t="str">
        <f aca="false">IF(A132="","",IF(AND(T132&gt;=0.9,P132="No",OR(R132="Conservar",R132="Modificar")),"Apto para línea base","Revisar"))</f>
        <v/>
      </c>
    </row>
    <row r="133" customFormat="false" ht="15" hidden="false" customHeight="false" outlineLevel="0" collapsed="false">
      <c r="A133" s="18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0"/>
      <c r="R133" s="5"/>
      <c r="S133" s="19"/>
      <c r="T133" s="21" t="str">
        <f aca="false">IF(A133="","",(COUNTIF(C133:O133,"Sí")+IF(P133="No",1,0))/14)</f>
        <v/>
      </c>
      <c r="U133" s="10" t="str">
        <f aca="false">IF(A133="","",IF(AND(T133&gt;=0.9,P133="No",OR(R133="Conservar",R133="Modificar")),"Apto para línea base","Revisar"))</f>
        <v/>
      </c>
    </row>
    <row r="134" customFormat="false" ht="15" hidden="false" customHeight="false" outlineLevel="0" collapsed="false">
      <c r="A134" s="18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0"/>
      <c r="R134" s="5"/>
      <c r="S134" s="19"/>
      <c r="T134" s="21" t="str">
        <f aca="false">IF(A134="","",(COUNTIF(C134:O134,"Sí")+IF(P134="No",1,0))/14)</f>
        <v/>
      </c>
      <c r="U134" s="10" t="str">
        <f aca="false">IF(A134="","",IF(AND(T134&gt;=0.9,P134="No",OR(R134="Conservar",R134="Modificar")),"Apto para línea base","Revisar"))</f>
        <v/>
      </c>
    </row>
    <row r="135" customFormat="false" ht="15" hidden="false" customHeight="false" outlineLevel="0" collapsed="false">
      <c r="A135" s="18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0"/>
      <c r="R135" s="5"/>
      <c r="S135" s="19"/>
      <c r="T135" s="21" t="str">
        <f aca="false">IF(A135="","",(COUNTIF(C135:O135,"Sí")+IF(P135="No",1,0))/14)</f>
        <v/>
      </c>
      <c r="U135" s="10" t="str">
        <f aca="false">IF(A135="","",IF(AND(T135&gt;=0.9,P135="No",OR(R135="Conservar",R135="Modificar")),"Apto para línea base","Revisar"))</f>
        <v/>
      </c>
    </row>
    <row r="136" customFormat="false" ht="15" hidden="false" customHeight="false" outlineLevel="0" collapsed="false">
      <c r="A136" s="18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0"/>
      <c r="R136" s="5"/>
      <c r="S136" s="19"/>
      <c r="T136" s="21" t="str">
        <f aca="false">IF(A136="","",(COUNTIF(C136:O136,"Sí")+IF(P136="No",1,0))/14)</f>
        <v/>
      </c>
      <c r="U136" s="10" t="str">
        <f aca="false">IF(A136="","",IF(AND(T136&gt;=0.9,P136="No",OR(R136="Conservar",R136="Modificar")),"Apto para línea base","Revisar"))</f>
        <v/>
      </c>
    </row>
    <row r="137" customFormat="false" ht="15" hidden="false" customHeight="false" outlineLevel="0" collapsed="false">
      <c r="A137" s="18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0"/>
      <c r="R137" s="5"/>
      <c r="S137" s="19"/>
      <c r="T137" s="21" t="str">
        <f aca="false">IF(A137="","",(COUNTIF(C137:O137,"Sí")+IF(P137="No",1,0))/14)</f>
        <v/>
      </c>
      <c r="U137" s="10" t="str">
        <f aca="false">IF(A137="","",IF(AND(T137&gt;=0.9,P137="No",OR(R137="Conservar",R137="Modificar")),"Apto para línea base","Revisar"))</f>
        <v/>
      </c>
    </row>
    <row r="138" customFormat="false" ht="15" hidden="false" customHeight="false" outlineLevel="0" collapsed="false">
      <c r="A138" s="18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0"/>
      <c r="R138" s="5"/>
      <c r="S138" s="19"/>
      <c r="T138" s="21" t="str">
        <f aca="false">IF(A138="","",(COUNTIF(C138:O138,"Sí")+IF(P138="No",1,0))/14)</f>
        <v/>
      </c>
      <c r="U138" s="10" t="str">
        <f aca="false">IF(A138="","",IF(AND(T138&gt;=0.9,P138="No",OR(R138="Conservar",R138="Modificar")),"Apto para línea base","Revisar"))</f>
        <v/>
      </c>
    </row>
    <row r="139" customFormat="false" ht="15" hidden="false" customHeight="false" outlineLevel="0" collapsed="false">
      <c r="A139" s="18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0"/>
      <c r="R139" s="5"/>
      <c r="S139" s="19"/>
      <c r="T139" s="21" t="str">
        <f aca="false">IF(A139="","",(COUNTIF(C139:O139,"Sí")+IF(P139="No",1,0))/14)</f>
        <v/>
      </c>
      <c r="U139" s="10" t="str">
        <f aca="false">IF(A139="","",IF(AND(T139&gt;=0.9,P139="No",OR(R139="Conservar",R139="Modificar")),"Apto para línea base","Revisar"))</f>
        <v/>
      </c>
    </row>
    <row r="140" customFormat="false" ht="15" hidden="false" customHeight="false" outlineLevel="0" collapsed="false">
      <c r="A140" s="18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0"/>
      <c r="R140" s="5"/>
      <c r="S140" s="19"/>
      <c r="T140" s="21" t="str">
        <f aca="false">IF(A140="","",(COUNTIF(C140:O140,"Sí")+IF(P140="No",1,0))/14)</f>
        <v/>
      </c>
      <c r="U140" s="10" t="str">
        <f aca="false">IF(A140="","",IF(AND(T140&gt;=0.9,P140="No",OR(R140="Conservar",R140="Modificar")),"Apto para línea base","Revisar"))</f>
        <v/>
      </c>
    </row>
    <row r="141" customFormat="false" ht="15" hidden="false" customHeight="false" outlineLevel="0" collapsed="false">
      <c r="A141" s="18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0"/>
      <c r="R141" s="5"/>
      <c r="S141" s="19"/>
      <c r="T141" s="21" t="str">
        <f aca="false">IF(A141="","",(COUNTIF(C141:O141,"Sí")+IF(P141="No",1,0))/14)</f>
        <v/>
      </c>
      <c r="U141" s="10" t="str">
        <f aca="false">IF(A141="","",IF(AND(T141&gt;=0.9,P141="No",OR(R141="Conservar",R141="Modificar")),"Apto para línea base","Revisar"))</f>
        <v/>
      </c>
    </row>
    <row r="142" customFormat="false" ht="15" hidden="false" customHeight="false" outlineLevel="0" collapsed="false">
      <c r="A142" s="18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0"/>
      <c r="R142" s="5"/>
      <c r="S142" s="19"/>
      <c r="T142" s="21" t="str">
        <f aca="false">IF(A142="","",(COUNTIF(C142:O142,"Sí")+IF(P142="No",1,0))/14)</f>
        <v/>
      </c>
      <c r="U142" s="10" t="str">
        <f aca="false">IF(A142="","",IF(AND(T142&gt;=0.9,P142="No",OR(R142="Conservar",R142="Modificar")),"Apto para línea base","Revisar"))</f>
        <v/>
      </c>
    </row>
    <row r="143" customFormat="false" ht="15" hidden="false" customHeight="false" outlineLevel="0" collapsed="false">
      <c r="A143" s="18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0"/>
      <c r="R143" s="5"/>
      <c r="S143" s="19"/>
      <c r="T143" s="21" t="str">
        <f aca="false">IF(A143="","",(COUNTIF(C143:O143,"Sí")+IF(P143="No",1,0))/14)</f>
        <v/>
      </c>
      <c r="U143" s="10" t="str">
        <f aca="false">IF(A143="","",IF(AND(T143&gt;=0.9,P143="No",OR(R143="Conservar",R143="Modificar")),"Apto para línea base","Revisar"))</f>
        <v/>
      </c>
    </row>
    <row r="144" customFormat="false" ht="15" hidden="false" customHeight="false" outlineLevel="0" collapsed="false">
      <c r="A144" s="18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0"/>
      <c r="R144" s="5"/>
      <c r="S144" s="19"/>
      <c r="T144" s="21" t="str">
        <f aca="false">IF(A144="","",(COUNTIF(C144:O144,"Sí")+IF(P144="No",1,0))/14)</f>
        <v/>
      </c>
      <c r="U144" s="10" t="str">
        <f aca="false">IF(A144="","",IF(AND(T144&gt;=0.9,P144="No",OR(R144="Conservar",R144="Modificar")),"Apto para línea base","Revisar"))</f>
        <v/>
      </c>
    </row>
    <row r="145" customFormat="false" ht="15" hidden="false" customHeight="false" outlineLevel="0" collapsed="false">
      <c r="A145" s="18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0"/>
      <c r="R145" s="5"/>
      <c r="S145" s="19"/>
      <c r="T145" s="21" t="str">
        <f aca="false">IF(A145="","",(COUNTIF(C145:O145,"Sí")+IF(P145="No",1,0))/14)</f>
        <v/>
      </c>
      <c r="U145" s="10" t="str">
        <f aca="false">IF(A145="","",IF(AND(T145&gt;=0.9,P145="No",OR(R145="Conservar",R145="Modificar")),"Apto para línea base","Revisar"))</f>
        <v/>
      </c>
    </row>
    <row r="146" customFormat="false" ht="15" hidden="false" customHeight="false" outlineLevel="0" collapsed="false">
      <c r="A146" s="18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0"/>
      <c r="R146" s="5"/>
      <c r="S146" s="19"/>
      <c r="T146" s="21" t="str">
        <f aca="false">IF(A146="","",(COUNTIF(C146:O146,"Sí")+IF(P146="No",1,0))/14)</f>
        <v/>
      </c>
      <c r="U146" s="10" t="str">
        <f aca="false">IF(A146="","",IF(AND(T146&gt;=0.9,P146="No",OR(R146="Conservar",R146="Modificar")),"Apto para línea base","Revisar"))</f>
        <v/>
      </c>
    </row>
    <row r="147" customFormat="false" ht="15" hidden="false" customHeight="false" outlineLevel="0" collapsed="false">
      <c r="A147" s="18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0"/>
      <c r="R147" s="5"/>
      <c r="S147" s="19"/>
      <c r="T147" s="21" t="str">
        <f aca="false">IF(A147="","",(COUNTIF(C147:O147,"Sí")+IF(P147="No",1,0))/14)</f>
        <v/>
      </c>
      <c r="U147" s="10" t="str">
        <f aca="false">IF(A147="","",IF(AND(T147&gt;=0.9,P147="No",OR(R147="Conservar",R147="Modificar")),"Apto para línea base","Revisar"))</f>
        <v/>
      </c>
    </row>
    <row r="148" customFormat="false" ht="15" hidden="false" customHeight="false" outlineLevel="0" collapsed="false">
      <c r="A148" s="18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0"/>
      <c r="R148" s="5"/>
      <c r="S148" s="19"/>
      <c r="T148" s="21" t="str">
        <f aca="false">IF(A148="","",(COUNTIF(C148:O148,"Sí")+IF(P148="No",1,0))/14)</f>
        <v/>
      </c>
      <c r="U148" s="10" t="str">
        <f aca="false">IF(A148="","",IF(AND(T148&gt;=0.9,P148="No",OR(R148="Conservar",R148="Modificar")),"Apto para línea base","Revisar"))</f>
        <v/>
      </c>
    </row>
    <row r="149" customFormat="false" ht="15" hidden="false" customHeight="false" outlineLevel="0" collapsed="false">
      <c r="A149" s="18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0"/>
      <c r="R149" s="5"/>
      <c r="S149" s="19"/>
      <c r="T149" s="21" t="str">
        <f aca="false">IF(A149="","",(COUNTIF(C149:O149,"Sí")+IF(P149="No",1,0))/14)</f>
        <v/>
      </c>
      <c r="U149" s="10" t="str">
        <f aca="false">IF(A149="","",IF(AND(T149&gt;=0.9,P149="No",OR(R149="Conservar",R149="Modificar")),"Apto para línea base","Revisar"))</f>
        <v/>
      </c>
    </row>
    <row r="150" customFormat="false" ht="15" hidden="false" customHeight="false" outlineLevel="0" collapsed="false">
      <c r="A150" s="18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0"/>
      <c r="R150" s="5"/>
      <c r="S150" s="19"/>
      <c r="T150" s="21" t="str">
        <f aca="false">IF(A150="","",(COUNTIF(C150:O150,"Sí")+IF(P150="No",1,0))/14)</f>
        <v/>
      </c>
      <c r="U150" s="10" t="str">
        <f aca="false">IF(A150="","",IF(AND(T150&gt;=0.9,P150="No",OR(R150="Conservar",R150="Modificar")),"Apto para línea base","Revisar"))</f>
        <v/>
      </c>
    </row>
    <row r="151" customFormat="false" ht="15" hidden="false" customHeight="false" outlineLevel="0" collapsed="false">
      <c r="A151" s="18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0"/>
      <c r="R151" s="5"/>
      <c r="S151" s="19"/>
      <c r="T151" s="21" t="str">
        <f aca="false">IF(A151="","",(COUNTIF(C151:O151,"Sí")+IF(P151="No",1,0))/14)</f>
        <v/>
      </c>
      <c r="U151" s="10" t="str">
        <f aca="false">IF(A151="","",IF(AND(T151&gt;=0.9,P151="No",OR(R151="Conservar",R151="Modificar")),"Apto para línea base","Revisar"))</f>
        <v/>
      </c>
    </row>
    <row r="152" customFormat="false" ht="15" hidden="false" customHeight="false" outlineLevel="0" collapsed="false">
      <c r="A152" s="18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0"/>
      <c r="R152" s="5"/>
      <c r="S152" s="19"/>
      <c r="T152" s="21" t="str">
        <f aca="false">IF(A152="","",(COUNTIF(C152:O152,"Sí")+IF(P152="No",1,0))/14)</f>
        <v/>
      </c>
      <c r="U152" s="10" t="str">
        <f aca="false">IF(A152="","",IF(AND(T152&gt;=0.9,P152="No",OR(R152="Conservar",R152="Modificar")),"Apto para línea base","Revisar"))</f>
        <v/>
      </c>
    </row>
    <row r="153" customFormat="false" ht="15" hidden="false" customHeight="false" outlineLevel="0" collapsed="false">
      <c r="A153" s="18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0"/>
      <c r="R153" s="5"/>
      <c r="S153" s="19"/>
      <c r="T153" s="21" t="str">
        <f aca="false">IF(A153="","",(COUNTIF(C153:O153,"Sí")+IF(P153="No",1,0))/14)</f>
        <v/>
      </c>
      <c r="U153" s="10" t="str">
        <f aca="false">IF(A153="","",IF(AND(T153&gt;=0.9,P153="No",OR(R153="Conservar",R153="Modificar")),"Apto para línea base","Revisar"))</f>
        <v/>
      </c>
    </row>
    <row r="154" customFormat="false" ht="15" hidden="false" customHeight="false" outlineLevel="0" collapsed="false">
      <c r="A154" s="18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0"/>
      <c r="R154" s="5"/>
      <c r="S154" s="19"/>
      <c r="T154" s="21" t="str">
        <f aca="false">IF(A154="","",(COUNTIF(C154:O154,"Sí")+IF(P154="No",1,0))/14)</f>
        <v/>
      </c>
      <c r="U154" s="10" t="str">
        <f aca="false">IF(A154="","",IF(AND(T154&gt;=0.9,P154="No",OR(R154="Conservar",R154="Modificar")),"Apto para línea base","Revisar"))</f>
        <v/>
      </c>
    </row>
    <row r="155" customFormat="false" ht="15" hidden="false" customHeight="false" outlineLevel="0" collapsed="false">
      <c r="A155" s="18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0"/>
      <c r="R155" s="5"/>
      <c r="S155" s="19"/>
      <c r="T155" s="21" t="str">
        <f aca="false">IF(A155="","",(COUNTIF(C155:O155,"Sí")+IF(P155="No",1,0))/14)</f>
        <v/>
      </c>
      <c r="U155" s="10" t="str">
        <f aca="false">IF(A155="","",IF(AND(T155&gt;=0.9,P155="No",OR(R155="Conservar",R155="Modificar")),"Apto para línea base","Revisar"))</f>
        <v/>
      </c>
    </row>
    <row r="156" customFormat="false" ht="15" hidden="false" customHeight="false" outlineLevel="0" collapsed="false">
      <c r="A156" s="18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0"/>
      <c r="R156" s="5"/>
      <c r="S156" s="19"/>
      <c r="T156" s="21" t="str">
        <f aca="false">IF(A156="","",(COUNTIF(C156:O156,"Sí")+IF(P156="No",1,0))/14)</f>
        <v/>
      </c>
      <c r="U156" s="10" t="str">
        <f aca="false">IF(A156="","",IF(AND(T156&gt;=0.9,P156="No",OR(R156="Conservar",R156="Modificar")),"Apto para línea base","Revisar"))</f>
        <v/>
      </c>
    </row>
    <row r="157" customFormat="false" ht="15" hidden="false" customHeight="false" outlineLevel="0" collapsed="false">
      <c r="A157" s="18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0"/>
      <c r="R157" s="5"/>
      <c r="S157" s="19"/>
      <c r="T157" s="21" t="str">
        <f aca="false">IF(A157="","",(COUNTIF(C157:O157,"Sí")+IF(P157="No",1,0))/14)</f>
        <v/>
      </c>
      <c r="U157" s="10" t="str">
        <f aca="false">IF(A157="","",IF(AND(T157&gt;=0.9,P157="No",OR(R157="Conservar",R157="Modificar")),"Apto para línea base","Revisar"))</f>
        <v/>
      </c>
    </row>
    <row r="158" customFormat="false" ht="15" hidden="false" customHeight="false" outlineLevel="0" collapsed="false">
      <c r="A158" s="18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0"/>
      <c r="R158" s="5"/>
      <c r="S158" s="19"/>
      <c r="T158" s="21" t="str">
        <f aca="false">IF(A158="","",(COUNTIF(C158:O158,"Sí")+IF(P158="No",1,0))/14)</f>
        <v/>
      </c>
      <c r="U158" s="10" t="str">
        <f aca="false">IF(A158="","",IF(AND(T158&gt;=0.9,P158="No",OR(R158="Conservar",R158="Modificar")),"Apto para línea base","Revisar"))</f>
        <v/>
      </c>
    </row>
    <row r="159" customFormat="false" ht="15" hidden="false" customHeight="false" outlineLevel="0" collapsed="false">
      <c r="A159" s="18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0"/>
      <c r="R159" s="5"/>
      <c r="S159" s="19"/>
      <c r="T159" s="21" t="str">
        <f aca="false">IF(A159="","",(COUNTIF(C159:O159,"Sí")+IF(P159="No",1,0))/14)</f>
        <v/>
      </c>
      <c r="U159" s="10" t="str">
        <f aca="false">IF(A159="","",IF(AND(T159&gt;=0.9,P159="No",OR(R159="Conservar",R159="Modificar")),"Apto para línea base","Revisar"))</f>
        <v/>
      </c>
    </row>
    <row r="160" customFormat="false" ht="15" hidden="false" customHeight="false" outlineLevel="0" collapsed="false">
      <c r="A160" s="18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0"/>
      <c r="R160" s="5"/>
      <c r="S160" s="19"/>
      <c r="T160" s="21" t="str">
        <f aca="false">IF(A160="","",(COUNTIF(C160:O160,"Sí")+IF(P160="No",1,0))/14)</f>
        <v/>
      </c>
      <c r="U160" s="10" t="str">
        <f aca="false">IF(A160="","",IF(AND(T160&gt;=0.9,P160="No",OR(R160="Conservar",R160="Modificar")),"Apto para línea base","Revisar"))</f>
        <v/>
      </c>
    </row>
    <row r="161" customFormat="false" ht="15" hidden="false" customHeight="false" outlineLevel="0" collapsed="false">
      <c r="A161" s="18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0"/>
      <c r="R161" s="5"/>
      <c r="S161" s="19"/>
      <c r="T161" s="21" t="str">
        <f aca="false">IF(A161="","",(COUNTIF(C161:O161,"Sí")+IF(P161="No",1,0))/14)</f>
        <v/>
      </c>
      <c r="U161" s="10" t="str">
        <f aca="false">IF(A161="","",IF(AND(T161&gt;=0.9,P161="No",OR(R161="Conservar",R161="Modificar")),"Apto para línea base","Revisar"))</f>
        <v/>
      </c>
    </row>
    <row r="162" customFormat="false" ht="15" hidden="false" customHeight="false" outlineLevel="0" collapsed="false">
      <c r="A162" s="18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0"/>
      <c r="R162" s="5"/>
      <c r="S162" s="19"/>
      <c r="T162" s="21" t="str">
        <f aca="false">IF(A162="","",(COUNTIF(C162:O162,"Sí")+IF(P162="No",1,0))/14)</f>
        <v/>
      </c>
      <c r="U162" s="10" t="str">
        <f aca="false">IF(A162="","",IF(AND(T162&gt;=0.9,P162="No",OR(R162="Conservar",R162="Modificar")),"Apto para línea base","Revisar"))</f>
        <v/>
      </c>
    </row>
    <row r="163" customFormat="false" ht="15" hidden="false" customHeight="false" outlineLevel="0" collapsed="false">
      <c r="A163" s="18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0"/>
      <c r="R163" s="5"/>
      <c r="S163" s="19"/>
      <c r="T163" s="21" t="str">
        <f aca="false">IF(A163="","",(COUNTIF(C163:O163,"Sí")+IF(P163="No",1,0))/14)</f>
        <v/>
      </c>
      <c r="U163" s="10" t="str">
        <f aca="false">IF(A163="","",IF(AND(T163&gt;=0.9,P163="No",OR(R163="Conservar",R163="Modificar")),"Apto para línea base","Revisar"))</f>
        <v/>
      </c>
    </row>
    <row r="164" customFormat="false" ht="15" hidden="false" customHeight="false" outlineLevel="0" collapsed="false">
      <c r="A164" s="18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0"/>
      <c r="R164" s="5"/>
      <c r="S164" s="19"/>
      <c r="T164" s="21" t="str">
        <f aca="false">IF(A164="","",(COUNTIF(C164:O164,"Sí")+IF(P164="No",1,0))/14)</f>
        <v/>
      </c>
      <c r="U164" s="10" t="str">
        <f aca="false">IF(A164="","",IF(AND(T164&gt;=0.9,P164="No",OR(R164="Conservar",R164="Modificar")),"Apto para línea base","Revisar"))</f>
        <v/>
      </c>
    </row>
    <row r="165" customFormat="false" ht="15" hidden="false" customHeight="false" outlineLevel="0" collapsed="false">
      <c r="A165" s="18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0"/>
      <c r="R165" s="5"/>
      <c r="S165" s="19"/>
      <c r="T165" s="21" t="str">
        <f aca="false">IF(A165="","",(COUNTIF(C165:O165,"Sí")+IF(P165="No",1,0))/14)</f>
        <v/>
      </c>
      <c r="U165" s="10" t="str">
        <f aca="false">IF(A165="","",IF(AND(T165&gt;=0.9,P165="No",OR(R165="Conservar",R165="Modificar")),"Apto para línea base","Revisar"))</f>
        <v/>
      </c>
    </row>
    <row r="166" customFormat="false" ht="15" hidden="false" customHeight="false" outlineLevel="0" collapsed="false">
      <c r="A166" s="18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0"/>
      <c r="R166" s="5"/>
      <c r="S166" s="19"/>
      <c r="T166" s="21" t="str">
        <f aca="false">IF(A166="","",(COUNTIF(C166:O166,"Sí")+IF(P166="No",1,0))/14)</f>
        <v/>
      </c>
      <c r="U166" s="10" t="str">
        <f aca="false">IF(A166="","",IF(AND(T166&gt;=0.9,P166="No",OR(R166="Conservar",R166="Modificar")),"Apto para línea base","Revisar"))</f>
        <v/>
      </c>
    </row>
    <row r="167" customFormat="false" ht="15" hidden="false" customHeight="false" outlineLevel="0" collapsed="false">
      <c r="A167" s="18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0"/>
      <c r="R167" s="5"/>
      <c r="S167" s="19"/>
      <c r="T167" s="21" t="str">
        <f aca="false">IF(A167="","",(COUNTIF(C167:O167,"Sí")+IF(P167="No",1,0))/14)</f>
        <v/>
      </c>
      <c r="U167" s="10" t="str">
        <f aca="false">IF(A167="","",IF(AND(T167&gt;=0.9,P167="No",OR(R167="Conservar",R167="Modificar")),"Apto para línea base","Revisar"))</f>
        <v/>
      </c>
    </row>
    <row r="168" customFormat="false" ht="15" hidden="false" customHeight="false" outlineLevel="0" collapsed="false">
      <c r="A168" s="18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0"/>
      <c r="R168" s="5"/>
      <c r="S168" s="19"/>
      <c r="T168" s="21" t="str">
        <f aca="false">IF(A168="","",(COUNTIF(C168:O168,"Sí")+IF(P168="No",1,0))/14)</f>
        <v/>
      </c>
      <c r="U168" s="10" t="str">
        <f aca="false">IF(A168="","",IF(AND(T168&gt;=0.9,P168="No",OR(R168="Conservar",R168="Modificar")),"Apto para línea base","Revisar"))</f>
        <v/>
      </c>
    </row>
    <row r="169" customFormat="false" ht="15" hidden="false" customHeight="false" outlineLevel="0" collapsed="false">
      <c r="A169" s="18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0"/>
      <c r="R169" s="5"/>
      <c r="S169" s="19"/>
      <c r="T169" s="21" t="str">
        <f aca="false">IF(A169="","",(COUNTIF(C169:O169,"Sí")+IF(P169="No",1,0))/14)</f>
        <v/>
      </c>
      <c r="U169" s="10" t="str">
        <f aca="false">IF(A169="","",IF(AND(T169&gt;=0.9,P169="No",OR(R169="Conservar",R169="Modificar")),"Apto para línea base","Revisar"))</f>
        <v/>
      </c>
    </row>
    <row r="170" customFormat="false" ht="15" hidden="false" customHeight="false" outlineLevel="0" collapsed="false">
      <c r="A170" s="18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0"/>
      <c r="R170" s="5"/>
      <c r="S170" s="19"/>
      <c r="T170" s="21" t="str">
        <f aca="false">IF(A170="","",(COUNTIF(C170:O170,"Sí")+IF(P170="No",1,0))/14)</f>
        <v/>
      </c>
      <c r="U170" s="10" t="str">
        <f aca="false">IF(A170="","",IF(AND(T170&gt;=0.9,P170="No",OR(R170="Conservar",R170="Modificar")),"Apto para línea base","Revisar"))</f>
        <v/>
      </c>
    </row>
    <row r="171" customFormat="false" ht="15" hidden="false" customHeight="false" outlineLevel="0" collapsed="false">
      <c r="A171" s="18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0"/>
      <c r="R171" s="5"/>
      <c r="S171" s="19"/>
      <c r="T171" s="21" t="str">
        <f aca="false">IF(A171="","",(COUNTIF(C171:O171,"Sí")+IF(P171="No",1,0))/14)</f>
        <v/>
      </c>
      <c r="U171" s="10" t="str">
        <f aca="false">IF(A171="","",IF(AND(T171&gt;=0.9,P171="No",OR(R171="Conservar",R171="Modificar")),"Apto para línea base","Revisar"))</f>
        <v/>
      </c>
    </row>
    <row r="172" customFormat="false" ht="15" hidden="false" customHeight="false" outlineLevel="0" collapsed="false">
      <c r="A172" s="18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0"/>
      <c r="R172" s="5"/>
      <c r="S172" s="19"/>
      <c r="T172" s="21" t="str">
        <f aca="false">IF(A172="","",(COUNTIF(C172:O172,"Sí")+IF(P172="No",1,0))/14)</f>
        <v/>
      </c>
      <c r="U172" s="10" t="str">
        <f aca="false">IF(A172="","",IF(AND(T172&gt;=0.9,P172="No",OR(R172="Conservar",R172="Modificar")),"Apto para línea base","Revisar"))</f>
        <v/>
      </c>
    </row>
    <row r="173" customFormat="false" ht="15" hidden="false" customHeight="false" outlineLevel="0" collapsed="false">
      <c r="A173" s="18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0"/>
      <c r="R173" s="5"/>
      <c r="S173" s="19"/>
      <c r="T173" s="21" t="str">
        <f aca="false">IF(A173="","",(COUNTIF(C173:O173,"Sí")+IF(P173="No",1,0))/14)</f>
        <v/>
      </c>
      <c r="U173" s="10" t="str">
        <f aca="false">IF(A173="","",IF(AND(T173&gt;=0.9,P173="No",OR(R173="Conservar",R173="Modificar")),"Apto para línea base","Revisar"))</f>
        <v/>
      </c>
    </row>
    <row r="174" customFormat="false" ht="15" hidden="false" customHeight="false" outlineLevel="0" collapsed="false">
      <c r="A174" s="18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0"/>
      <c r="R174" s="5"/>
      <c r="S174" s="19"/>
      <c r="T174" s="21" t="str">
        <f aca="false">IF(A174="","",(COUNTIF(C174:O174,"Sí")+IF(P174="No",1,0))/14)</f>
        <v/>
      </c>
      <c r="U174" s="10" t="str">
        <f aca="false">IF(A174="","",IF(AND(T174&gt;=0.9,P174="No",OR(R174="Conservar",R174="Modificar")),"Apto para línea base","Revisar"))</f>
        <v/>
      </c>
    </row>
    <row r="175" customFormat="false" ht="15" hidden="false" customHeight="false" outlineLevel="0" collapsed="false">
      <c r="A175" s="18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0"/>
      <c r="R175" s="5"/>
      <c r="S175" s="19"/>
      <c r="T175" s="21" t="str">
        <f aca="false">IF(A175="","",(COUNTIF(C175:O175,"Sí")+IF(P175="No",1,0))/14)</f>
        <v/>
      </c>
      <c r="U175" s="10" t="str">
        <f aca="false">IF(A175="","",IF(AND(T175&gt;=0.9,P175="No",OR(R175="Conservar",R175="Modificar")),"Apto para línea base","Revisar"))</f>
        <v/>
      </c>
    </row>
    <row r="176" customFormat="false" ht="15" hidden="false" customHeight="false" outlineLevel="0" collapsed="false">
      <c r="A176" s="18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0"/>
      <c r="R176" s="5"/>
      <c r="S176" s="19"/>
      <c r="T176" s="21" t="str">
        <f aca="false">IF(A176="","",(COUNTIF(C176:O176,"Sí")+IF(P176="No",1,0))/14)</f>
        <v/>
      </c>
      <c r="U176" s="10" t="str">
        <f aca="false">IF(A176="","",IF(AND(T176&gt;=0.9,P176="No",OR(R176="Conservar",R176="Modificar")),"Apto para línea base","Revisar"))</f>
        <v/>
      </c>
    </row>
    <row r="177" customFormat="false" ht="15" hidden="false" customHeight="false" outlineLevel="0" collapsed="false">
      <c r="A177" s="18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0"/>
      <c r="R177" s="5"/>
      <c r="S177" s="19"/>
      <c r="T177" s="21" t="str">
        <f aca="false">IF(A177="","",(COUNTIF(C177:O177,"Sí")+IF(P177="No",1,0))/14)</f>
        <v/>
      </c>
      <c r="U177" s="10" t="str">
        <f aca="false">IF(A177="","",IF(AND(T177&gt;=0.9,P177="No",OR(R177="Conservar",R177="Modificar")),"Apto para línea base","Revisar"))</f>
        <v/>
      </c>
    </row>
    <row r="178" customFormat="false" ht="15" hidden="false" customHeight="false" outlineLevel="0" collapsed="false">
      <c r="A178" s="18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0"/>
      <c r="R178" s="5"/>
      <c r="S178" s="19"/>
      <c r="T178" s="21" t="str">
        <f aca="false">IF(A178="","",(COUNTIF(C178:O178,"Sí")+IF(P178="No",1,0))/14)</f>
        <v/>
      </c>
      <c r="U178" s="10" t="str">
        <f aca="false">IF(A178="","",IF(AND(T178&gt;=0.9,P178="No",OR(R178="Conservar",R178="Modificar")),"Apto para línea base","Revisar"))</f>
        <v/>
      </c>
    </row>
    <row r="179" customFormat="false" ht="15" hidden="false" customHeight="false" outlineLevel="0" collapsed="false">
      <c r="A179" s="18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0"/>
      <c r="R179" s="5"/>
      <c r="S179" s="19"/>
      <c r="T179" s="21" t="str">
        <f aca="false">IF(A179="","",(COUNTIF(C179:O179,"Sí")+IF(P179="No",1,0))/14)</f>
        <v/>
      </c>
      <c r="U179" s="10" t="str">
        <f aca="false">IF(A179="","",IF(AND(T179&gt;=0.9,P179="No",OR(R179="Conservar",R179="Modificar")),"Apto para línea base","Revisar"))</f>
        <v/>
      </c>
    </row>
    <row r="180" customFormat="false" ht="15" hidden="false" customHeight="false" outlineLevel="0" collapsed="false">
      <c r="A180" s="18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0"/>
      <c r="R180" s="5"/>
      <c r="S180" s="19"/>
      <c r="T180" s="21" t="str">
        <f aca="false">IF(A180="","",(COUNTIF(C180:O180,"Sí")+IF(P180="No",1,0))/14)</f>
        <v/>
      </c>
      <c r="U180" s="10" t="str">
        <f aca="false">IF(A180="","",IF(AND(T180&gt;=0.9,P180="No",OR(R180="Conservar",R180="Modificar")),"Apto para línea base","Revisar"))</f>
        <v/>
      </c>
    </row>
    <row r="181" customFormat="false" ht="15" hidden="false" customHeight="false" outlineLevel="0" collapsed="false">
      <c r="A181" s="18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0"/>
      <c r="R181" s="5"/>
      <c r="S181" s="19"/>
      <c r="T181" s="21" t="str">
        <f aca="false">IF(A181="","",(COUNTIF(C181:O181,"Sí")+IF(P181="No",1,0))/14)</f>
        <v/>
      </c>
      <c r="U181" s="10" t="str">
        <f aca="false">IF(A181="","",IF(AND(T181&gt;=0.9,P181="No",OR(R181="Conservar",R181="Modificar")),"Apto para línea base","Revisar"))</f>
        <v/>
      </c>
    </row>
    <row r="182" customFormat="false" ht="15" hidden="false" customHeight="false" outlineLevel="0" collapsed="false">
      <c r="A182" s="18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0"/>
      <c r="R182" s="5"/>
      <c r="S182" s="19"/>
      <c r="T182" s="21" t="str">
        <f aca="false">IF(A182="","",(COUNTIF(C182:O182,"Sí")+IF(P182="No",1,0))/14)</f>
        <v/>
      </c>
      <c r="U182" s="10" t="str">
        <f aca="false">IF(A182="","",IF(AND(T182&gt;=0.9,P182="No",OR(R182="Conservar",R182="Modificar")),"Apto para línea base","Revisar"))</f>
        <v/>
      </c>
    </row>
    <row r="183" customFormat="false" ht="15" hidden="false" customHeight="false" outlineLevel="0" collapsed="false">
      <c r="A183" s="18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0"/>
      <c r="R183" s="5"/>
      <c r="S183" s="19"/>
      <c r="T183" s="21" t="str">
        <f aca="false">IF(A183="","",(COUNTIF(C183:O183,"Sí")+IF(P183="No",1,0))/14)</f>
        <v/>
      </c>
      <c r="U183" s="10" t="str">
        <f aca="false">IF(A183="","",IF(AND(T183&gt;=0.9,P183="No",OR(R183="Conservar",R183="Modificar")),"Apto para línea base","Revisar"))</f>
        <v/>
      </c>
    </row>
    <row r="184" customFormat="false" ht="15" hidden="false" customHeight="false" outlineLevel="0" collapsed="false">
      <c r="A184" s="18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0"/>
      <c r="R184" s="5"/>
      <c r="S184" s="19"/>
      <c r="T184" s="21" t="str">
        <f aca="false">IF(A184="","",(COUNTIF(C184:O184,"Sí")+IF(P184="No",1,0))/14)</f>
        <v/>
      </c>
      <c r="U184" s="10" t="str">
        <f aca="false">IF(A184="","",IF(AND(T184&gt;=0.9,P184="No",OR(R184="Conservar",R184="Modificar")),"Apto para línea base","Revisar"))</f>
        <v/>
      </c>
    </row>
    <row r="185" customFormat="false" ht="15" hidden="false" customHeight="false" outlineLevel="0" collapsed="false">
      <c r="A185" s="18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0"/>
      <c r="R185" s="5"/>
      <c r="S185" s="19"/>
      <c r="T185" s="21" t="str">
        <f aca="false">IF(A185="","",(COUNTIF(C185:O185,"Sí")+IF(P185="No",1,0))/14)</f>
        <v/>
      </c>
      <c r="U185" s="10" t="str">
        <f aca="false">IF(A185="","",IF(AND(T185&gt;=0.9,P185="No",OR(R185="Conservar",R185="Modificar")),"Apto para línea base","Revisar"))</f>
        <v/>
      </c>
    </row>
    <row r="186" customFormat="false" ht="15" hidden="false" customHeight="false" outlineLevel="0" collapsed="false">
      <c r="A186" s="18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0"/>
      <c r="R186" s="5"/>
      <c r="S186" s="19"/>
      <c r="T186" s="21" t="str">
        <f aca="false">IF(A186="","",(COUNTIF(C186:O186,"Sí")+IF(P186="No",1,0))/14)</f>
        <v/>
      </c>
      <c r="U186" s="10" t="str">
        <f aca="false">IF(A186="","",IF(AND(T186&gt;=0.9,P186="No",OR(R186="Conservar",R186="Modificar")),"Apto para línea base","Revisar"))</f>
        <v/>
      </c>
    </row>
    <row r="187" customFormat="false" ht="15" hidden="false" customHeight="false" outlineLevel="0" collapsed="false">
      <c r="A187" s="18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0"/>
      <c r="R187" s="5"/>
      <c r="S187" s="19"/>
      <c r="T187" s="21" t="str">
        <f aca="false">IF(A187="","",(COUNTIF(C187:O187,"Sí")+IF(P187="No",1,0))/14)</f>
        <v/>
      </c>
      <c r="U187" s="10" t="str">
        <f aca="false">IF(A187="","",IF(AND(T187&gt;=0.9,P187="No",OR(R187="Conservar",R187="Modificar")),"Apto para línea base","Revisar"))</f>
        <v/>
      </c>
    </row>
    <row r="188" customFormat="false" ht="15" hidden="false" customHeight="false" outlineLevel="0" collapsed="false">
      <c r="A188" s="18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0"/>
      <c r="R188" s="5"/>
      <c r="S188" s="19"/>
      <c r="T188" s="21" t="str">
        <f aca="false">IF(A188="","",(COUNTIF(C188:O188,"Sí")+IF(P188="No",1,0))/14)</f>
        <v/>
      </c>
      <c r="U188" s="10" t="str">
        <f aca="false">IF(A188="","",IF(AND(T188&gt;=0.9,P188="No",OR(R188="Conservar",R188="Modificar")),"Apto para línea base","Revisar"))</f>
        <v/>
      </c>
    </row>
    <row r="189" customFormat="false" ht="15" hidden="false" customHeight="false" outlineLevel="0" collapsed="false">
      <c r="A189" s="18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0"/>
      <c r="R189" s="5"/>
      <c r="S189" s="19"/>
      <c r="T189" s="21" t="str">
        <f aca="false">IF(A189="","",(COUNTIF(C189:O189,"Sí")+IF(P189="No",1,0))/14)</f>
        <v/>
      </c>
      <c r="U189" s="10" t="str">
        <f aca="false">IF(A189="","",IF(AND(T189&gt;=0.9,P189="No",OR(R189="Conservar",R189="Modificar")),"Apto para línea base","Revisar"))</f>
        <v/>
      </c>
    </row>
    <row r="190" customFormat="false" ht="15" hidden="false" customHeight="false" outlineLevel="0" collapsed="false">
      <c r="A190" s="18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0"/>
      <c r="R190" s="5"/>
      <c r="S190" s="19"/>
      <c r="T190" s="21" t="str">
        <f aca="false">IF(A190="","",(COUNTIF(C190:O190,"Sí")+IF(P190="No",1,0))/14)</f>
        <v/>
      </c>
      <c r="U190" s="10" t="str">
        <f aca="false">IF(A190="","",IF(AND(T190&gt;=0.9,P190="No",OR(R190="Conservar",R190="Modificar")),"Apto para línea base","Revisar"))</f>
        <v/>
      </c>
    </row>
    <row r="191" customFormat="false" ht="15" hidden="false" customHeight="false" outlineLevel="0" collapsed="false">
      <c r="A191" s="18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0"/>
      <c r="R191" s="5"/>
      <c r="S191" s="19"/>
      <c r="T191" s="21" t="str">
        <f aca="false">IF(A191="","",(COUNTIF(C191:O191,"Sí")+IF(P191="No",1,0))/14)</f>
        <v/>
      </c>
      <c r="U191" s="10" t="str">
        <f aca="false">IF(A191="","",IF(AND(T191&gt;=0.9,P191="No",OR(R191="Conservar",R191="Modificar")),"Apto para línea base","Revisar"))</f>
        <v/>
      </c>
    </row>
    <row r="192" customFormat="false" ht="15" hidden="false" customHeight="false" outlineLevel="0" collapsed="false">
      <c r="A192" s="18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0"/>
      <c r="R192" s="5"/>
      <c r="S192" s="19"/>
      <c r="T192" s="21" t="str">
        <f aca="false">IF(A192="","",(COUNTIF(C192:O192,"Sí")+IF(P192="No",1,0))/14)</f>
        <v/>
      </c>
      <c r="U192" s="10" t="str">
        <f aca="false">IF(A192="","",IF(AND(T192&gt;=0.9,P192="No",OR(R192="Conservar",R192="Modificar")),"Apto para línea base","Revisar"))</f>
        <v/>
      </c>
    </row>
    <row r="193" customFormat="false" ht="15" hidden="false" customHeight="false" outlineLevel="0" collapsed="false">
      <c r="A193" s="18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0"/>
      <c r="R193" s="5"/>
      <c r="S193" s="19"/>
      <c r="T193" s="21" t="str">
        <f aca="false">IF(A193="","",(COUNTIF(C193:O193,"Sí")+IF(P193="No",1,0))/14)</f>
        <v/>
      </c>
      <c r="U193" s="10" t="str">
        <f aca="false">IF(A193="","",IF(AND(T193&gt;=0.9,P193="No",OR(R193="Conservar",R193="Modificar")),"Apto para línea base","Revisar"))</f>
        <v/>
      </c>
    </row>
    <row r="194" customFormat="false" ht="15" hidden="false" customHeight="false" outlineLevel="0" collapsed="false">
      <c r="A194" s="18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0"/>
      <c r="R194" s="5"/>
      <c r="S194" s="19"/>
      <c r="T194" s="21" t="str">
        <f aca="false">IF(A194="","",(COUNTIF(C194:O194,"Sí")+IF(P194="No",1,0))/14)</f>
        <v/>
      </c>
      <c r="U194" s="10" t="str">
        <f aca="false">IF(A194="","",IF(AND(T194&gt;=0.9,P194="No",OR(R194="Conservar",R194="Modificar")),"Apto para línea base","Revisar"))</f>
        <v/>
      </c>
    </row>
    <row r="195" customFormat="false" ht="15" hidden="false" customHeight="false" outlineLevel="0" collapsed="false">
      <c r="A195" s="18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0"/>
      <c r="R195" s="5"/>
      <c r="S195" s="19"/>
      <c r="T195" s="21" t="str">
        <f aca="false">IF(A195="","",(COUNTIF(C195:O195,"Sí")+IF(P195="No",1,0))/14)</f>
        <v/>
      </c>
      <c r="U195" s="10" t="str">
        <f aca="false">IF(A195="","",IF(AND(T195&gt;=0.9,P195="No",OR(R195="Conservar",R195="Modificar")),"Apto para línea base","Revisar"))</f>
        <v/>
      </c>
    </row>
    <row r="196" customFormat="false" ht="15" hidden="false" customHeight="false" outlineLevel="0" collapsed="false">
      <c r="A196" s="18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0"/>
      <c r="R196" s="5"/>
      <c r="S196" s="19"/>
      <c r="T196" s="21" t="str">
        <f aca="false">IF(A196="","",(COUNTIF(C196:O196,"Sí")+IF(P196="No",1,0))/14)</f>
        <v/>
      </c>
      <c r="U196" s="10" t="str">
        <f aca="false">IF(A196="","",IF(AND(T196&gt;=0.9,P196="No",OR(R196="Conservar",R196="Modificar")),"Apto para línea base","Revisar"))</f>
        <v/>
      </c>
    </row>
    <row r="197" customFormat="false" ht="15" hidden="false" customHeight="false" outlineLevel="0" collapsed="false">
      <c r="A197" s="18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0"/>
      <c r="R197" s="5"/>
      <c r="S197" s="19"/>
      <c r="T197" s="21" t="str">
        <f aca="false">IF(A197="","",(COUNTIF(C197:O197,"Sí")+IF(P197="No",1,0))/14)</f>
        <v/>
      </c>
      <c r="U197" s="10" t="str">
        <f aca="false">IF(A197="","",IF(AND(T197&gt;=0.9,P197="No",OR(R197="Conservar",R197="Modificar")),"Apto para línea base","Revisar"))</f>
        <v/>
      </c>
    </row>
    <row r="198" customFormat="false" ht="15" hidden="false" customHeight="false" outlineLevel="0" collapsed="false">
      <c r="A198" s="18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0"/>
      <c r="R198" s="5"/>
      <c r="S198" s="19"/>
      <c r="T198" s="21" t="str">
        <f aca="false">IF(A198="","",(COUNTIF(C198:O198,"Sí")+IF(P198="No",1,0))/14)</f>
        <v/>
      </c>
      <c r="U198" s="10" t="str">
        <f aca="false">IF(A198="","",IF(AND(T198&gt;=0.9,P198="No",OR(R198="Conservar",R198="Modificar")),"Apto para línea base","Revisar"))</f>
        <v/>
      </c>
    </row>
    <row r="199" customFormat="false" ht="15" hidden="false" customHeight="false" outlineLevel="0" collapsed="false">
      <c r="A199" s="18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0"/>
      <c r="R199" s="5"/>
      <c r="S199" s="19"/>
      <c r="T199" s="21" t="str">
        <f aca="false">IF(A199="","",(COUNTIF(C199:O199,"Sí")+IF(P199="No",1,0))/14)</f>
        <v/>
      </c>
      <c r="U199" s="10" t="str">
        <f aca="false">IF(A199="","",IF(AND(T199&gt;=0.9,P199="No",OR(R199="Conservar",R199="Modificar")),"Apto para línea base","Revisar"))</f>
        <v/>
      </c>
    </row>
    <row r="200" customFormat="false" ht="15" hidden="false" customHeight="false" outlineLevel="0" collapsed="false">
      <c r="A200" s="18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0"/>
      <c r="R200" s="5"/>
      <c r="S200" s="19"/>
      <c r="T200" s="21" t="str">
        <f aca="false">IF(A200="","",(COUNTIF(C200:O200,"Sí")+IF(P200="No",1,0))/14)</f>
        <v/>
      </c>
      <c r="U200" s="10" t="str">
        <f aca="false">IF(A200="","",IF(AND(T200&gt;=0.9,P200="No",OR(R200="Conservar",R200="Modificar")),"Apto para línea base","Revisar"))</f>
        <v/>
      </c>
    </row>
    <row r="201" customFormat="false" ht="15" hidden="false" customHeight="false" outlineLevel="0" collapsed="false">
      <c r="A201" s="18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0"/>
      <c r="R201" s="5"/>
      <c r="S201" s="19"/>
      <c r="T201" s="21" t="str">
        <f aca="false">IF(A201="","",(COUNTIF(C201:O201,"Sí")+IF(P201="No",1,0))/14)</f>
        <v/>
      </c>
      <c r="U201" s="10" t="str">
        <f aca="false">IF(A201="","",IF(AND(T201&gt;=0.9,P201="No",OR(R201="Conservar",R201="Modificar")),"Apto para línea base","Revisar"))</f>
        <v/>
      </c>
    </row>
    <row r="202" customFormat="false" ht="15" hidden="false" customHeight="false" outlineLevel="0" collapsed="false">
      <c r="A202" s="18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0"/>
      <c r="R202" s="5"/>
      <c r="S202" s="19"/>
      <c r="T202" s="21" t="str">
        <f aca="false">IF(A202="","",(COUNTIF(C202:O202,"Sí")+IF(P202="No",1,0))/14)</f>
        <v/>
      </c>
      <c r="U202" s="10" t="str">
        <f aca="false">IF(A202="","",IF(AND(T202&gt;=0.9,P202="No",OR(R202="Conservar",R202="Modificar")),"Apto para línea base","Revisar"))</f>
        <v/>
      </c>
    </row>
    <row r="203" customFormat="false" ht="15" hidden="false" customHeight="false" outlineLevel="0" collapsed="false">
      <c r="A203" s="18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0"/>
      <c r="R203" s="5"/>
      <c r="S203" s="19"/>
      <c r="T203" s="21" t="str">
        <f aca="false">IF(A203="","",(COUNTIF(C203:O203,"Sí")+IF(P203="No",1,0))/14)</f>
        <v/>
      </c>
      <c r="U203" s="10" t="str">
        <f aca="false">IF(A203="","",IF(AND(T203&gt;=0.9,P203="No",OR(R203="Conservar",R203="Modificar")),"Apto para línea base","Revisar"))</f>
        <v/>
      </c>
    </row>
    <row r="204" customFormat="false" ht="15" hidden="false" customHeight="false" outlineLevel="0" collapsed="false">
      <c r="A204" s="18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0"/>
      <c r="R204" s="5"/>
      <c r="S204" s="19"/>
      <c r="T204" s="21" t="str">
        <f aca="false">IF(A204="","",(COUNTIF(C204:O204,"Sí")+IF(P204="No",1,0))/14)</f>
        <v/>
      </c>
      <c r="U204" s="10" t="str">
        <f aca="false">IF(A204="","",IF(AND(T204&gt;=0.9,P204="No",OR(R204="Conservar",R204="Modificar")),"Apto para línea base","Revisar"))</f>
        <v/>
      </c>
    </row>
  </sheetData>
  <mergeCells count="2">
    <mergeCell ref="A1:U1"/>
    <mergeCell ref="A2:U2"/>
  </mergeCells>
  <conditionalFormatting sqref="U5:U204">
    <cfRule type="expression" priority="2" aboveAverage="0" equalAverage="0" bottom="0" percent="0" rank="0" text="" dxfId="7">
      <formula>U5="Apto para línea base"</formula>
    </cfRule>
    <cfRule type="expression" priority="3" aboveAverage="0" equalAverage="0" bottom="0" percent="0" rank="0" text="" dxfId="10">
      <formula>U5="Revisar"</formula>
    </cfRule>
  </conditionalFormatting>
  <conditionalFormatting sqref="T5:T20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5">
    <dataValidation allowBlank="false" errorStyle="stop" operator="between" showDropDown="false" showErrorMessage="false" showInputMessage="false" sqref="C5:C204" type="list">
      <formula1>"Sí,No"</formula1>
      <formula2>0</formula2>
    </dataValidation>
    <dataValidation allowBlank="false" errorStyle="stop" operator="between" showDropDown="false" showErrorMessage="false" showInputMessage="false" sqref="D5:D204" type="list">
      <formula1>"Sí,No"</formula1>
      <formula2>0</formula2>
    </dataValidation>
    <dataValidation allowBlank="false" errorStyle="stop" operator="between" showDropDown="false" showErrorMessage="false" showInputMessage="false" sqref="E5:E204" type="list">
      <formula1>"Sí,No"</formula1>
      <formula2>0</formula2>
    </dataValidation>
    <dataValidation allowBlank="false" errorStyle="stop" operator="between" showDropDown="false" showErrorMessage="false" showInputMessage="false" sqref="F5:F204" type="list">
      <formula1>"Sí,No"</formula1>
      <formula2>0</formula2>
    </dataValidation>
    <dataValidation allowBlank="false" errorStyle="stop" operator="between" showDropDown="false" showErrorMessage="false" showInputMessage="false" sqref="G5:G204" type="list">
      <formula1>"Sí,No"</formula1>
      <formula2>0</formula2>
    </dataValidation>
    <dataValidation allowBlank="false" errorStyle="stop" operator="between" showDropDown="false" showErrorMessage="false" showInputMessage="false" sqref="H5:H204" type="list">
      <formula1>"Sí,No"</formula1>
      <formula2>0</formula2>
    </dataValidation>
    <dataValidation allowBlank="false" errorStyle="stop" operator="between" showDropDown="false" showErrorMessage="false" showInputMessage="false" sqref="I5:I204" type="list">
      <formula1>"Sí,No"</formula1>
      <formula2>0</formula2>
    </dataValidation>
    <dataValidation allowBlank="false" errorStyle="stop" operator="between" showDropDown="false" showErrorMessage="false" showInputMessage="false" sqref="J5:J204" type="list">
      <formula1>"Sí,No"</formula1>
      <formula2>0</formula2>
    </dataValidation>
    <dataValidation allowBlank="false" errorStyle="stop" operator="between" showDropDown="false" showErrorMessage="false" showInputMessage="false" sqref="K5:K204" type="list">
      <formula1>"Sí,No"</formula1>
      <formula2>0</formula2>
    </dataValidation>
    <dataValidation allowBlank="false" errorStyle="stop" operator="between" showDropDown="false" showErrorMessage="false" showInputMessage="false" sqref="L5:L204" type="list">
      <formula1>"Sí,No"</formula1>
      <formula2>0</formula2>
    </dataValidation>
    <dataValidation allowBlank="false" errorStyle="stop" operator="between" showDropDown="false" showErrorMessage="false" showInputMessage="false" sqref="M5:M204" type="list">
      <formula1>"Sí,No"</formula1>
      <formula2>0</formula2>
    </dataValidation>
    <dataValidation allowBlank="false" errorStyle="stop" operator="between" showDropDown="false" showErrorMessage="false" showInputMessage="false" sqref="N5:N204" type="list">
      <formula1>"Sí,No"</formula1>
      <formula2>0</formula2>
    </dataValidation>
    <dataValidation allowBlank="false" errorStyle="stop" operator="between" showDropDown="false" showErrorMessage="false" showInputMessage="false" sqref="O5:O204" type="list">
      <formula1>"Sí,No"</formula1>
      <formula2>0</formula2>
    </dataValidation>
    <dataValidation allowBlank="false" errorStyle="stop" operator="between" showDropDown="false" showErrorMessage="false" showInputMessage="false" sqref="P5:P204" type="list">
      <formula1>"Sí,No"</formula1>
      <formula2>0</formula2>
    </dataValidation>
    <dataValidation allowBlank="false" errorStyle="stop" operator="between" showDropDown="false" showErrorMessage="false" showInputMessage="false" sqref="R5:R204" type="list">
      <formula1>"Conservar,Modificar,Diferir,Eliminar"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42"/>
    <col collapsed="false" customWidth="true" hidden="false" outlineLevel="0" max="7" min="5" style="1" width="15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38"/>
    <col collapsed="false" customWidth="true" hidden="false" outlineLevel="0" max="12" min="12" style="1" width="15"/>
    <col collapsed="false" customWidth="true" hidden="false" outlineLevel="0" max="13" min="13" style="1" width="30"/>
  </cols>
  <sheetData>
    <row r="1" customFormat="false" ht="30" hidden="false" customHeight="true" outlineLevel="0" collapsed="false">
      <c r="A1" s="2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3.75" hidden="false" customHeight="true" outlineLevel="0" collapsed="false">
      <c r="A2" s="3" t="s">
        <v>343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42" hidden="false" customHeight="true" outlineLevel="0" collapsed="false">
      <c r="A4" s="14" t="s">
        <v>344</v>
      </c>
      <c r="B4" s="9" t="s">
        <v>345</v>
      </c>
      <c r="C4" s="9" t="s">
        <v>173</v>
      </c>
      <c r="D4" s="9" t="s">
        <v>346</v>
      </c>
      <c r="E4" s="9" t="s">
        <v>347</v>
      </c>
      <c r="F4" s="9" t="s">
        <v>181</v>
      </c>
      <c r="G4" s="9" t="s">
        <v>74</v>
      </c>
      <c r="H4" s="9" t="s">
        <v>348</v>
      </c>
      <c r="I4" s="9" t="s">
        <v>349</v>
      </c>
      <c r="J4" s="9" t="s">
        <v>350</v>
      </c>
      <c r="K4" s="9" t="s">
        <v>351</v>
      </c>
      <c r="L4" s="9" t="s">
        <v>352</v>
      </c>
      <c r="M4" s="9" t="s">
        <v>182</v>
      </c>
    </row>
    <row r="5" customFormat="false" ht="108.95" hidden="false" customHeight="false" outlineLevel="0" collapsed="false">
      <c r="A5" s="15" t="s">
        <v>289</v>
      </c>
      <c r="B5" s="16" t="s">
        <v>353</v>
      </c>
      <c r="C5" s="16" t="s">
        <v>64</v>
      </c>
      <c r="D5" s="16" t="s">
        <v>354</v>
      </c>
      <c r="E5" s="17" t="n">
        <v>46221</v>
      </c>
      <c r="F5" s="17"/>
      <c r="G5" s="16" t="s">
        <v>355</v>
      </c>
      <c r="H5" s="16"/>
      <c r="I5" s="16" t="n">
        <f aca="false">IF(A5="","",COUNTIF(02_Registro_Requisitos!$O$5:$O$204,A5))</f>
        <v>1</v>
      </c>
      <c r="J5" s="16" t="s">
        <v>326</v>
      </c>
      <c r="K5" s="16" t="s">
        <v>356</v>
      </c>
      <c r="L5" s="16"/>
      <c r="M5" s="16" t="s">
        <v>357</v>
      </c>
    </row>
    <row r="6" customFormat="false" ht="15" hidden="false" customHeight="false" outlineLevel="0" collapsed="false">
      <c r="A6" s="18"/>
      <c r="B6" s="10"/>
      <c r="C6" s="10"/>
      <c r="D6" s="10"/>
      <c r="E6" s="19"/>
      <c r="F6" s="19"/>
      <c r="G6" s="10"/>
      <c r="H6" s="10"/>
      <c r="I6" s="10" t="str">
        <f aca="false">IF(A6="","",COUNTIF(02_Registro_Requisitos!$O$5:$O$204,A6))</f>
        <v/>
      </c>
      <c r="J6" s="10"/>
      <c r="K6" s="10"/>
      <c r="L6" s="10"/>
      <c r="M6" s="10"/>
    </row>
    <row r="7" customFormat="false" ht="15" hidden="false" customHeight="false" outlineLevel="0" collapsed="false">
      <c r="A7" s="18"/>
      <c r="B7" s="10"/>
      <c r="C7" s="10"/>
      <c r="D7" s="10"/>
      <c r="E7" s="19"/>
      <c r="F7" s="19"/>
      <c r="G7" s="10"/>
      <c r="H7" s="10"/>
      <c r="I7" s="10" t="str">
        <f aca="false">IF(A7="","",COUNTIF(02_Registro_Requisitos!$O$5:$O$204,A7))</f>
        <v/>
      </c>
      <c r="J7" s="10"/>
      <c r="K7" s="10"/>
      <c r="L7" s="10"/>
      <c r="M7" s="10"/>
    </row>
    <row r="8" customFormat="false" ht="15" hidden="false" customHeight="false" outlineLevel="0" collapsed="false">
      <c r="A8" s="18"/>
      <c r="B8" s="10"/>
      <c r="C8" s="10"/>
      <c r="D8" s="10"/>
      <c r="E8" s="19"/>
      <c r="F8" s="19"/>
      <c r="G8" s="10"/>
      <c r="H8" s="10"/>
      <c r="I8" s="10" t="str">
        <f aca="false">IF(A8="","",COUNTIF(02_Registro_Requisitos!$O$5:$O$204,A8))</f>
        <v/>
      </c>
      <c r="J8" s="10"/>
      <c r="K8" s="10"/>
      <c r="L8" s="10"/>
      <c r="M8" s="10"/>
    </row>
    <row r="9" customFormat="false" ht="15" hidden="false" customHeight="false" outlineLevel="0" collapsed="false">
      <c r="A9" s="18"/>
      <c r="B9" s="10"/>
      <c r="C9" s="10"/>
      <c r="D9" s="10"/>
      <c r="E9" s="19"/>
      <c r="F9" s="19"/>
      <c r="G9" s="10"/>
      <c r="H9" s="10"/>
      <c r="I9" s="10" t="str">
        <f aca="false">IF(A9="","",COUNTIF(02_Registro_Requisitos!$O$5:$O$204,A9))</f>
        <v/>
      </c>
      <c r="J9" s="10"/>
      <c r="K9" s="10"/>
      <c r="L9" s="10"/>
      <c r="M9" s="10"/>
    </row>
    <row r="10" customFormat="false" ht="15" hidden="false" customHeight="false" outlineLevel="0" collapsed="false">
      <c r="A10" s="18"/>
      <c r="B10" s="10"/>
      <c r="C10" s="10"/>
      <c r="D10" s="10"/>
      <c r="E10" s="19"/>
      <c r="F10" s="19"/>
      <c r="G10" s="10"/>
      <c r="H10" s="10"/>
      <c r="I10" s="10" t="str">
        <f aca="false">IF(A10="","",COUNTIF(02_Registro_Requisitos!$O$5:$O$204,A10))</f>
        <v/>
      </c>
      <c r="J10" s="10"/>
      <c r="K10" s="10"/>
      <c r="L10" s="10"/>
      <c r="M10" s="10"/>
    </row>
    <row r="11" customFormat="false" ht="15" hidden="false" customHeight="false" outlineLevel="0" collapsed="false">
      <c r="A11" s="18"/>
      <c r="B11" s="10"/>
      <c r="C11" s="10"/>
      <c r="D11" s="10"/>
      <c r="E11" s="19"/>
      <c r="F11" s="19"/>
      <c r="G11" s="10"/>
      <c r="H11" s="10"/>
      <c r="I11" s="10" t="str">
        <f aca="false">IF(A11="","",COUNTIF(02_Registro_Requisitos!$O$5:$O$204,A11))</f>
        <v/>
      </c>
      <c r="J11" s="10"/>
      <c r="K11" s="10"/>
      <c r="L11" s="10"/>
      <c r="M11" s="10"/>
    </row>
    <row r="12" customFormat="false" ht="15" hidden="false" customHeight="false" outlineLevel="0" collapsed="false">
      <c r="A12" s="18"/>
      <c r="B12" s="10"/>
      <c r="C12" s="10"/>
      <c r="D12" s="10"/>
      <c r="E12" s="19"/>
      <c r="F12" s="19"/>
      <c r="G12" s="10"/>
      <c r="H12" s="10"/>
      <c r="I12" s="10" t="str">
        <f aca="false">IF(A12="","",COUNTIF(02_Registro_Requisitos!$O$5:$O$204,A12))</f>
        <v/>
      </c>
      <c r="J12" s="10"/>
      <c r="K12" s="10"/>
      <c r="L12" s="10"/>
      <c r="M12" s="10"/>
    </row>
    <row r="13" customFormat="false" ht="15" hidden="false" customHeight="false" outlineLevel="0" collapsed="false">
      <c r="A13" s="18"/>
      <c r="B13" s="10"/>
      <c r="C13" s="10"/>
      <c r="D13" s="10"/>
      <c r="E13" s="19"/>
      <c r="F13" s="19"/>
      <c r="G13" s="10"/>
      <c r="H13" s="10"/>
      <c r="I13" s="10" t="str">
        <f aca="false">IF(A13="","",COUNTIF(02_Registro_Requisitos!$O$5:$O$204,A13))</f>
        <v/>
      </c>
      <c r="J13" s="10"/>
      <c r="K13" s="10"/>
      <c r="L13" s="10"/>
      <c r="M13" s="10"/>
    </row>
    <row r="14" customFormat="false" ht="15" hidden="false" customHeight="false" outlineLevel="0" collapsed="false">
      <c r="A14" s="18"/>
      <c r="B14" s="10"/>
      <c r="C14" s="10"/>
      <c r="D14" s="10"/>
      <c r="E14" s="19"/>
      <c r="F14" s="19"/>
      <c r="G14" s="10"/>
      <c r="H14" s="10"/>
      <c r="I14" s="10" t="str">
        <f aca="false">IF(A14="","",COUNTIF(02_Registro_Requisitos!$O$5:$O$204,A14))</f>
        <v/>
      </c>
      <c r="J14" s="10"/>
      <c r="K14" s="10"/>
      <c r="L14" s="10"/>
      <c r="M14" s="10"/>
    </row>
    <row r="15" customFormat="false" ht="15" hidden="false" customHeight="false" outlineLevel="0" collapsed="false">
      <c r="A15" s="18"/>
      <c r="B15" s="10"/>
      <c r="C15" s="10"/>
      <c r="D15" s="10"/>
      <c r="E15" s="19"/>
      <c r="F15" s="19"/>
      <c r="G15" s="10"/>
      <c r="H15" s="10"/>
      <c r="I15" s="10" t="str">
        <f aca="false">IF(A15="","",COUNTIF(02_Registro_Requisitos!$O$5:$O$204,A15))</f>
        <v/>
      </c>
      <c r="J15" s="10"/>
      <c r="K15" s="10"/>
      <c r="L15" s="10"/>
      <c r="M15" s="10"/>
    </row>
    <row r="16" customFormat="false" ht="15" hidden="false" customHeight="false" outlineLevel="0" collapsed="false">
      <c r="A16" s="18"/>
      <c r="B16" s="10"/>
      <c r="C16" s="10"/>
      <c r="D16" s="10"/>
      <c r="E16" s="19"/>
      <c r="F16" s="19"/>
      <c r="G16" s="10"/>
      <c r="H16" s="10"/>
      <c r="I16" s="10" t="str">
        <f aca="false">IF(A16="","",COUNTIF(02_Registro_Requisitos!$O$5:$O$204,A16))</f>
        <v/>
      </c>
      <c r="J16" s="10"/>
      <c r="K16" s="10"/>
      <c r="L16" s="10"/>
      <c r="M16" s="10"/>
    </row>
    <row r="17" customFormat="false" ht="15" hidden="false" customHeight="false" outlineLevel="0" collapsed="false">
      <c r="A17" s="18"/>
      <c r="B17" s="10"/>
      <c r="C17" s="10"/>
      <c r="D17" s="10"/>
      <c r="E17" s="19"/>
      <c r="F17" s="19"/>
      <c r="G17" s="10"/>
      <c r="H17" s="10"/>
      <c r="I17" s="10" t="str">
        <f aca="false">IF(A17="","",COUNTIF(02_Registro_Requisitos!$O$5:$O$204,A17))</f>
        <v/>
      </c>
      <c r="J17" s="10"/>
      <c r="K17" s="10"/>
      <c r="L17" s="10"/>
      <c r="M17" s="10"/>
    </row>
    <row r="18" customFormat="false" ht="15" hidden="false" customHeight="false" outlineLevel="0" collapsed="false">
      <c r="A18" s="18"/>
      <c r="B18" s="10"/>
      <c r="C18" s="10"/>
      <c r="D18" s="10"/>
      <c r="E18" s="19"/>
      <c r="F18" s="19"/>
      <c r="G18" s="10"/>
      <c r="H18" s="10"/>
      <c r="I18" s="10" t="str">
        <f aca="false">IF(A18="","",COUNTIF(02_Registro_Requisitos!$O$5:$O$204,A18))</f>
        <v/>
      </c>
      <c r="J18" s="10"/>
      <c r="K18" s="10"/>
      <c r="L18" s="10"/>
      <c r="M18" s="10"/>
    </row>
    <row r="19" customFormat="false" ht="15" hidden="false" customHeight="false" outlineLevel="0" collapsed="false">
      <c r="A19" s="18"/>
      <c r="B19" s="10"/>
      <c r="C19" s="10"/>
      <c r="D19" s="10"/>
      <c r="E19" s="19"/>
      <c r="F19" s="19"/>
      <c r="G19" s="10"/>
      <c r="H19" s="10"/>
      <c r="I19" s="10" t="str">
        <f aca="false">IF(A19="","",COUNTIF(02_Registro_Requisitos!$O$5:$O$204,A19))</f>
        <v/>
      </c>
      <c r="J19" s="10"/>
      <c r="K19" s="10"/>
      <c r="L19" s="10"/>
      <c r="M19" s="10"/>
    </row>
    <row r="20" customFormat="false" ht="15" hidden="false" customHeight="false" outlineLevel="0" collapsed="false">
      <c r="A20" s="18"/>
      <c r="B20" s="10"/>
      <c r="C20" s="10"/>
      <c r="D20" s="10"/>
      <c r="E20" s="19"/>
      <c r="F20" s="19"/>
      <c r="G20" s="10"/>
      <c r="H20" s="10"/>
      <c r="I20" s="10" t="str">
        <f aca="false">IF(A20="","",COUNTIF(02_Registro_Requisitos!$O$5:$O$204,A20))</f>
        <v/>
      </c>
      <c r="J20" s="10"/>
      <c r="K20" s="10"/>
      <c r="L20" s="10"/>
      <c r="M20" s="10"/>
    </row>
    <row r="21" customFormat="false" ht="15" hidden="false" customHeight="false" outlineLevel="0" collapsed="false">
      <c r="A21" s="18"/>
      <c r="B21" s="10"/>
      <c r="C21" s="10"/>
      <c r="D21" s="10"/>
      <c r="E21" s="19"/>
      <c r="F21" s="19"/>
      <c r="G21" s="10"/>
      <c r="H21" s="10"/>
      <c r="I21" s="10" t="str">
        <f aca="false">IF(A21="","",COUNTIF(02_Registro_Requisitos!$O$5:$O$204,A21))</f>
        <v/>
      </c>
      <c r="J21" s="10"/>
      <c r="K21" s="10"/>
      <c r="L21" s="10"/>
      <c r="M21" s="10"/>
    </row>
    <row r="22" customFormat="false" ht="15" hidden="false" customHeight="false" outlineLevel="0" collapsed="false">
      <c r="A22" s="18"/>
      <c r="B22" s="10"/>
      <c r="C22" s="10"/>
      <c r="D22" s="10"/>
      <c r="E22" s="19"/>
      <c r="F22" s="19"/>
      <c r="G22" s="10"/>
      <c r="H22" s="10"/>
      <c r="I22" s="10" t="str">
        <f aca="false">IF(A22="","",COUNTIF(02_Registro_Requisitos!$O$5:$O$204,A22))</f>
        <v/>
      </c>
      <c r="J22" s="10"/>
      <c r="K22" s="10"/>
      <c r="L22" s="10"/>
      <c r="M22" s="10"/>
    </row>
    <row r="23" customFormat="false" ht="15" hidden="false" customHeight="false" outlineLevel="0" collapsed="false">
      <c r="A23" s="18"/>
      <c r="B23" s="10"/>
      <c r="C23" s="10"/>
      <c r="D23" s="10"/>
      <c r="E23" s="19"/>
      <c r="F23" s="19"/>
      <c r="G23" s="10"/>
      <c r="H23" s="10"/>
      <c r="I23" s="10" t="str">
        <f aca="false">IF(A23="","",COUNTIF(02_Registro_Requisitos!$O$5:$O$204,A23))</f>
        <v/>
      </c>
      <c r="J23" s="10"/>
      <c r="K23" s="10"/>
      <c r="L23" s="10"/>
      <c r="M23" s="10"/>
    </row>
    <row r="24" customFormat="false" ht="15" hidden="false" customHeight="false" outlineLevel="0" collapsed="false">
      <c r="A24" s="18"/>
      <c r="B24" s="10"/>
      <c r="C24" s="10"/>
      <c r="D24" s="10"/>
      <c r="E24" s="19"/>
      <c r="F24" s="19"/>
      <c r="G24" s="10"/>
      <c r="H24" s="10"/>
      <c r="I24" s="10" t="str">
        <f aca="false">IF(A24="","",COUNTIF(02_Registro_Requisitos!$O$5:$O$204,A24))</f>
        <v/>
      </c>
      <c r="J24" s="10"/>
      <c r="K24" s="10"/>
      <c r="L24" s="10"/>
      <c r="M24" s="10"/>
    </row>
    <row r="25" customFormat="false" ht="15" hidden="false" customHeight="false" outlineLevel="0" collapsed="false">
      <c r="A25" s="18"/>
      <c r="B25" s="10"/>
      <c r="C25" s="10"/>
      <c r="D25" s="10"/>
      <c r="E25" s="19"/>
      <c r="F25" s="19"/>
      <c r="G25" s="10"/>
      <c r="H25" s="10"/>
      <c r="I25" s="10" t="str">
        <f aca="false">IF(A25="","",COUNTIF(02_Registro_Requisitos!$O$5:$O$204,A25))</f>
        <v/>
      </c>
      <c r="J25" s="10"/>
      <c r="K25" s="10"/>
      <c r="L25" s="10"/>
      <c r="M25" s="10"/>
    </row>
    <row r="26" customFormat="false" ht="15" hidden="false" customHeight="false" outlineLevel="0" collapsed="false">
      <c r="A26" s="18"/>
      <c r="B26" s="10"/>
      <c r="C26" s="10"/>
      <c r="D26" s="10"/>
      <c r="E26" s="19"/>
      <c r="F26" s="19"/>
      <c r="G26" s="10"/>
      <c r="H26" s="10"/>
      <c r="I26" s="10" t="str">
        <f aca="false">IF(A26="","",COUNTIF(02_Registro_Requisitos!$O$5:$O$204,A26))</f>
        <v/>
      </c>
      <c r="J26" s="10"/>
      <c r="K26" s="10"/>
      <c r="L26" s="10"/>
      <c r="M26" s="10"/>
    </row>
    <row r="27" customFormat="false" ht="15" hidden="false" customHeight="false" outlineLevel="0" collapsed="false">
      <c r="A27" s="18"/>
      <c r="B27" s="10"/>
      <c r="C27" s="10"/>
      <c r="D27" s="10"/>
      <c r="E27" s="19"/>
      <c r="F27" s="19"/>
      <c r="G27" s="10"/>
      <c r="H27" s="10"/>
      <c r="I27" s="10" t="str">
        <f aca="false">IF(A27="","",COUNTIF(02_Registro_Requisitos!$O$5:$O$204,A27))</f>
        <v/>
      </c>
      <c r="J27" s="10"/>
      <c r="K27" s="10"/>
      <c r="L27" s="10"/>
      <c r="M27" s="10"/>
    </row>
    <row r="28" customFormat="false" ht="15" hidden="false" customHeight="false" outlineLevel="0" collapsed="false">
      <c r="A28" s="18"/>
      <c r="B28" s="10"/>
      <c r="C28" s="10"/>
      <c r="D28" s="10"/>
      <c r="E28" s="19"/>
      <c r="F28" s="19"/>
      <c r="G28" s="10"/>
      <c r="H28" s="10"/>
      <c r="I28" s="10" t="str">
        <f aca="false">IF(A28="","",COUNTIF(02_Registro_Requisitos!$O$5:$O$204,A28))</f>
        <v/>
      </c>
      <c r="J28" s="10"/>
      <c r="K28" s="10"/>
      <c r="L28" s="10"/>
      <c r="M28" s="10"/>
    </row>
    <row r="29" customFormat="false" ht="15" hidden="false" customHeight="false" outlineLevel="0" collapsed="false">
      <c r="A29" s="18"/>
      <c r="B29" s="10"/>
      <c r="C29" s="10"/>
      <c r="D29" s="10"/>
      <c r="E29" s="19"/>
      <c r="F29" s="19"/>
      <c r="G29" s="10"/>
      <c r="H29" s="10"/>
      <c r="I29" s="10" t="str">
        <f aca="false">IF(A29="","",COUNTIF(02_Registro_Requisitos!$O$5:$O$204,A29))</f>
        <v/>
      </c>
      <c r="J29" s="10"/>
      <c r="K29" s="10"/>
      <c r="L29" s="10"/>
      <c r="M29" s="10"/>
    </row>
    <row r="30" customFormat="false" ht="15" hidden="false" customHeight="false" outlineLevel="0" collapsed="false">
      <c r="A30" s="18"/>
      <c r="B30" s="10"/>
      <c r="C30" s="10"/>
      <c r="D30" s="10"/>
      <c r="E30" s="19"/>
      <c r="F30" s="19"/>
      <c r="G30" s="10"/>
      <c r="H30" s="10"/>
      <c r="I30" s="10" t="str">
        <f aca="false">IF(A30="","",COUNTIF(02_Registro_Requisitos!$O$5:$O$204,A30))</f>
        <v/>
      </c>
      <c r="J30" s="10"/>
      <c r="K30" s="10"/>
      <c r="L30" s="10"/>
      <c r="M30" s="10"/>
    </row>
    <row r="31" customFormat="false" ht="15" hidden="false" customHeight="false" outlineLevel="0" collapsed="false">
      <c r="A31" s="18"/>
      <c r="B31" s="10"/>
      <c r="C31" s="10"/>
      <c r="D31" s="10"/>
      <c r="E31" s="19"/>
      <c r="F31" s="19"/>
      <c r="G31" s="10"/>
      <c r="H31" s="10"/>
      <c r="I31" s="10" t="str">
        <f aca="false">IF(A31="","",COUNTIF(02_Registro_Requisitos!$O$5:$O$204,A31))</f>
        <v/>
      </c>
      <c r="J31" s="10"/>
      <c r="K31" s="10"/>
      <c r="L31" s="10"/>
      <c r="M31" s="10"/>
    </row>
    <row r="32" customFormat="false" ht="15" hidden="false" customHeight="false" outlineLevel="0" collapsed="false">
      <c r="A32" s="18"/>
      <c r="B32" s="10"/>
      <c r="C32" s="10"/>
      <c r="D32" s="10"/>
      <c r="E32" s="19"/>
      <c r="F32" s="19"/>
      <c r="G32" s="10"/>
      <c r="H32" s="10"/>
      <c r="I32" s="10" t="str">
        <f aca="false">IF(A32="","",COUNTIF(02_Registro_Requisitos!$O$5:$O$204,A32))</f>
        <v/>
      </c>
      <c r="J32" s="10"/>
      <c r="K32" s="10"/>
      <c r="L32" s="10"/>
      <c r="M32" s="10"/>
    </row>
    <row r="33" customFormat="false" ht="15" hidden="false" customHeight="false" outlineLevel="0" collapsed="false">
      <c r="A33" s="18"/>
      <c r="B33" s="10"/>
      <c r="C33" s="10"/>
      <c r="D33" s="10"/>
      <c r="E33" s="19"/>
      <c r="F33" s="19"/>
      <c r="G33" s="10"/>
      <c r="H33" s="10"/>
      <c r="I33" s="10" t="str">
        <f aca="false">IF(A33="","",COUNTIF(02_Registro_Requisitos!$O$5:$O$204,A33))</f>
        <v/>
      </c>
      <c r="J33" s="10"/>
      <c r="K33" s="10"/>
      <c r="L33" s="10"/>
      <c r="M33" s="10"/>
    </row>
    <row r="34" customFormat="false" ht="15" hidden="false" customHeight="false" outlineLevel="0" collapsed="false">
      <c r="A34" s="18"/>
      <c r="B34" s="10"/>
      <c r="C34" s="10"/>
      <c r="D34" s="10"/>
      <c r="E34" s="19"/>
      <c r="F34" s="19"/>
      <c r="G34" s="10"/>
      <c r="H34" s="10"/>
      <c r="I34" s="10" t="str">
        <f aca="false">IF(A34="","",COUNTIF(02_Registro_Requisitos!$O$5:$O$204,A34))</f>
        <v/>
      </c>
      <c r="J34" s="10"/>
      <c r="K34" s="10"/>
      <c r="L34" s="10"/>
      <c r="M34" s="10"/>
    </row>
    <row r="35" customFormat="false" ht="15" hidden="false" customHeight="false" outlineLevel="0" collapsed="false">
      <c r="A35" s="18"/>
      <c r="B35" s="10"/>
      <c r="C35" s="10"/>
      <c r="D35" s="10"/>
      <c r="E35" s="19"/>
      <c r="F35" s="19"/>
      <c r="G35" s="10"/>
      <c r="H35" s="10"/>
      <c r="I35" s="10" t="str">
        <f aca="false">IF(A35="","",COUNTIF(02_Registro_Requisitos!$O$5:$O$204,A35))</f>
        <v/>
      </c>
      <c r="J35" s="10"/>
      <c r="K35" s="10"/>
      <c r="L35" s="10"/>
      <c r="M35" s="10"/>
    </row>
    <row r="36" customFormat="false" ht="15" hidden="false" customHeight="false" outlineLevel="0" collapsed="false">
      <c r="A36" s="18"/>
      <c r="B36" s="10"/>
      <c r="C36" s="10"/>
      <c r="D36" s="10"/>
      <c r="E36" s="19"/>
      <c r="F36" s="19"/>
      <c r="G36" s="10"/>
      <c r="H36" s="10"/>
      <c r="I36" s="10" t="str">
        <f aca="false">IF(A36="","",COUNTIF(02_Registro_Requisitos!$O$5:$O$204,A36))</f>
        <v/>
      </c>
      <c r="J36" s="10"/>
      <c r="K36" s="10"/>
      <c r="L36" s="10"/>
      <c r="M36" s="10"/>
    </row>
    <row r="37" customFormat="false" ht="15" hidden="false" customHeight="false" outlineLevel="0" collapsed="false">
      <c r="A37" s="18"/>
      <c r="B37" s="10"/>
      <c r="C37" s="10"/>
      <c r="D37" s="10"/>
      <c r="E37" s="19"/>
      <c r="F37" s="19"/>
      <c r="G37" s="10"/>
      <c r="H37" s="10"/>
      <c r="I37" s="10" t="str">
        <f aca="false">IF(A37="","",COUNTIF(02_Registro_Requisitos!$O$5:$O$204,A37))</f>
        <v/>
      </c>
      <c r="J37" s="10"/>
      <c r="K37" s="10"/>
      <c r="L37" s="10"/>
      <c r="M37" s="10"/>
    </row>
    <row r="38" customFormat="false" ht="15" hidden="false" customHeight="false" outlineLevel="0" collapsed="false">
      <c r="A38" s="18"/>
      <c r="B38" s="10"/>
      <c r="C38" s="10"/>
      <c r="D38" s="10"/>
      <c r="E38" s="19"/>
      <c r="F38" s="19"/>
      <c r="G38" s="10"/>
      <c r="H38" s="10"/>
      <c r="I38" s="10" t="str">
        <f aca="false">IF(A38="","",COUNTIF(02_Registro_Requisitos!$O$5:$O$204,A38))</f>
        <v/>
      </c>
      <c r="J38" s="10"/>
      <c r="K38" s="10"/>
      <c r="L38" s="10"/>
      <c r="M38" s="10"/>
    </row>
    <row r="39" customFormat="false" ht="15" hidden="false" customHeight="false" outlineLevel="0" collapsed="false">
      <c r="A39" s="18"/>
      <c r="B39" s="10"/>
      <c r="C39" s="10"/>
      <c r="D39" s="10"/>
      <c r="E39" s="19"/>
      <c r="F39" s="19"/>
      <c r="G39" s="10"/>
      <c r="H39" s="10"/>
      <c r="I39" s="10" t="str">
        <f aca="false">IF(A39="","",COUNTIF(02_Registro_Requisitos!$O$5:$O$204,A39))</f>
        <v/>
      </c>
      <c r="J39" s="10"/>
      <c r="K39" s="10"/>
      <c r="L39" s="10"/>
      <c r="M39" s="10"/>
    </row>
    <row r="40" customFormat="false" ht="15" hidden="false" customHeight="false" outlineLevel="0" collapsed="false">
      <c r="A40" s="18"/>
      <c r="B40" s="10"/>
      <c r="C40" s="10"/>
      <c r="D40" s="10"/>
      <c r="E40" s="19"/>
      <c r="F40" s="19"/>
      <c r="G40" s="10"/>
      <c r="H40" s="10"/>
      <c r="I40" s="10" t="str">
        <f aca="false">IF(A40="","",COUNTIF(02_Registro_Requisitos!$O$5:$O$204,A40))</f>
        <v/>
      </c>
      <c r="J40" s="10"/>
      <c r="K40" s="10"/>
      <c r="L40" s="10"/>
      <c r="M40" s="10"/>
    </row>
    <row r="41" customFormat="false" ht="15" hidden="false" customHeight="false" outlineLevel="0" collapsed="false">
      <c r="A41" s="18"/>
      <c r="B41" s="10"/>
      <c r="C41" s="10"/>
      <c r="D41" s="10"/>
      <c r="E41" s="19"/>
      <c r="F41" s="19"/>
      <c r="G41" s="10"/>
      <c r="H41" s="10"/>
      <c r="I41" s="10" t="str">
        <f aca="false">IF(A41="","",COUNTIF(02_Registro_Requisitos!$O$5:$O$204,A41))</f>
        <v/>
      </c>
      <c r="J41" s="10"/>
      <c r="K41" s="10"/>
      <c r="L41" s="10"/>
      <c r="M41" s="10"/>
    </row>
    <row r="42" customFormat="false" ht="15" hidden="false" customHeight="false" outlineLevel="0" collapsed="false">
      <c r="A42" s="18"/>
      <c r="B42" s="10"/>
      <c r="C42" s="10"/>
      <c r="D42" s="10"/>
      <c r="E42" s="19"/>
      <c r="F42" s="19"/>
      <c r="G42" s="10"/>
      <c r="H42" s="10"/>
      <c r="I42" s="10" t="str">
        <f aca="false">IF(A42="","",COUNTIF(02_Registro_Requisitos!$O$5:$O$204,A42))</f>
        <v/>
      </c>
      <c r="J42" s="10"/>
      <c r="K42" s="10"/>
      <c r="L42" s="10"/>
      <c r="M42" s="10"/>
    </row>
    <row r="43" customFormat="false" ht="15" hidden="false" customHeight="false" outlineLevel="0" collapsed="false">
      <c r="A43" s="18"/>
      <c r="B43" s="10"/>
      <c r="C43" s="10"/>
      <c r="D43" s="10"/>
      <c r="E43" s="19"/>
      <c r="F43" s="19"/>
      <c r="G43" s="10"/>
      <c r="H43" s="10"/>
      <c r="I43" s="10" t="str">
        <f aca="false">IF(A43="","",COUNTIF(02_Registro_Requisitos!$O$5:$O$204,A43))</f>
        <v/>
      </c>
      <c r="J43" s="10"/>
      <c r="K43" s="10"/>
      <c r="L43" s="10"/>
      <c r="M43" s="10"/>
    </row>
    <row r="44" customFormat="false" ht="15" hidden="false" customHeight="false" outlineLevel="0" collapsed="false">
      <c r="A44" s="18"/>
      <c r="B44" s="10"/>
      <c r="C44" s="10"/>
      <c r="D44" s="10"/>
      <c r="E44" s="19"/>
      <c r="F44" s="19"/>
      <c r="G44" s="10"/>
      <c r="H44" s="10"/>
      <c r="I44" s="10" t="str">
        <f aca="false">IF(A44="","",COUNTIF(02_Registro_Requisitos!$O$5:$O$204,A44))</f>
        <v/>
      </c>
      <c r="J44" s="10"/>
      <c r="K44" s="10"/>
      <c r="L44" s="10"/>
      <c r="M44" s="10"/>
    </row>
    <row r="45" customFormat="false" ht="15" hidden="false" customHeight="false" outlineLevel="0" collapsed="false">
      <c r="A45" s="18"/>
      <c r="B45" s="10"/>
      <c r="C45" s="10"/>
      <c r="D45" s="10"/>
      <c r="E45" s="19"/>
      <c r="F45" s="19"/>
      <c r="G45" s="10"/>
      <c r="H45" s="10"/>
      <c r="I45" s="10" t="str">
        <f aca="false">IF(A45="","",COUNTIF(02_Registro_Requisitos!$O$5:$O$204,A45))</f>
        <v/>
      </c>
      <c r="J45" s="10"/>
      <c r="K45" s="10"/>
      <c r="L45" s="10"/>
      <c r="M45" s="10"/>
    </row>
    <row r="46" customFormat="false" ht="15" hidden="false" customHeight="false" outlineLevel="0" collapsed="false">
      <c r="A46" s="18"/>
      <c r="B46" s="10"/>
      <c r="C46" s="10"/>
      <c r="D46" s="10"/>
      <c r="E46" s="19"/>
      <c r="F46" s="19"/>
      <c r="G46" s="10"/>
      <c r="H46" s="10"/>
      <c r="I46" s="10" t="str">
        <f aca="false">IF(A46="","",COUNTIF(02_Registro_Requisitos!$O$5:$O$204,A46))</f>
        <v/>
      </c>
      <c r="J46" s="10"/>
      <c r="K46" s="10"/>
      <c r="L46" s="10"/>
      <c r="M46" s="10"/>
    </row>
    <row r="47" customFormat="false" ht="15" hidden="false" customHeight="false" outlineLevel="0" collapsed="false">
      <c r="A47" s="18"/>
      <c r="B47" s="10"/>
      <c r="C47" s="10"/>
      <c r="D47" s="10"/>
      <c r="E47" s="19"/>
      <c r="F47" s="19"/>
      <c r="G47" s="10"/>
      <c r="H47" s="10"/>
      <c r="I47" s="10" t="str">
        <f aca="false">IF(A47="","",COUNTIF(02_Registro_Requisitos!$O$5:$O$204,A47))</f>
        <v/>
      </c>
      <c r="J47" s="10"/>
      <c r="K47" s="10"/>
      <c r="L47" s="10"/>
      <c r="M47" s="10"/>
    </row>
    <row r="48" customFormat="false" ht="15" hidden="false" customHeight="false" outlineLevel="0" collapsed="false">
      <c r="A48" s="18"/>
      <c r="B48" s="10"/>
      <c r="C48" s="10"/>
      <c r="D48" s="10"/>
      <c r="E48" s="19"/>
      <c r="F48" s="19"/>
      <c r="G48" s="10"/>
      <c r="H48" s="10"/>
      <c r="I48" s="10" t="str">
        <f aca="false">IF(A48="","",COUNTIF(02_Registro_Requisitos!$O$5:$O$204,A48))</f>
        <v/>
      </c>
      <c r="J48" s="10"/>
      <c r="K48" s="10"/>
      <c r="L48" s="10"/>
      <c r="M48" s="10"/>
    </row>
    <row r="49" customFormat="false" ht="15" hidden="false" customHeight="false" outlineLevel="0" collapsed="false">
      <c r="A49" s="18"/>
      <c r="B49" s="10"/>
      <c r="C49" s="10"/>
      <c r="D49" s="10"/>
      <c r="E49" s="19"/>
      <c r="F49" s="19"/>
      <c r="G49" s="10"/>
      <c r="H49" s="10"/>
      <c r="I49" s="10" t="str">
        <f aca="false">IF(A49="","",COUNTIF(02_Registro_Requisitos!$O$5:$O$204,A49))</f>
        <v/>
      </c>
      <c r="J49" s="10"/>
      <c r="K49" s="10"/>
      <c r="L49" s="10"/>
      <c r="M49" s="10"/>
    </row>
    <row r="50" customFormat="false" ht="15" hidden="false" customHeight="false" outlineLevel="0" collapsed="false">
      <c r="A50" s="18"/>
      <c r="B50" s="10"/>
      <c r="C50" s="10"/>
      <c r="D50" s="10"/>
      <c r="E50" s="19"/>
      <c r="F50" s="19"/>
      <c r="G50" s="10"/>
      <c r="H50" s="10"/>
      <c r="I50" s="10" t="str">
        <f aca="false">IF(A50="","",COUNTIF(02_Registro_Requisitos!$O$5:$O$204,A50))</f>
        <v/>
      </c>
      <c r="J50" s="10"/>
      <c r="K50" s="10"/>
      <c r="L50" s="10"/>
      <c r="M50" s="10"/>
    </row>
    <row r="51" customFormat="false" ht="15" hidden="false" customHeight="false" outlineLevel="0" collapsed="false">
      <c r="A51" s="18"/>
      <c r="B51" s="10"/>
      <c r="C51" s="10"/>
      <c r="D51" s="10"/>
      <c r="E51" s="19"/>
      <c r="F51" s="19"/>
      <c r="G51" s="10"/>
      <c r="H51" s="10"/>
      <c r="I51" s="10" t="str">
        <f aca="false">IF(A51="","",COUNTIF(02_Registro_Requisitos!$O$5:$O$204,A51))</f>
        <v/>
      </c>
      <c r="J51" s="10"/>
      <c r="K51" s="10"/>
      <c r="L51" s="10"/>
      <c r="M51" s="10"/>
    </row>
    <row r="52" customFormat="false" ht="15" hidden="false" customHeight="false" outlineLevel="0" collapsed="false">
      <c r="A52" s="18"/>
      <c r="B52" s="10"/>
      <c r="C52" s="10"/>
      <c r="D52" s="10"/>
      <c r="E52" s="19"/>
      <c r="F52" s="19"/>
      <c r="G52" s="10"/>
      <c r="H52" s="10"/>
      <c r="I52" s="10" t="str">
        <f aca="false">IF(A52="","",COUNTIF(02_Registro_Requisitos!$O$5:$O$204,A52))</f>
        <v/>
      </c>
      <c r="J52" s="10"/>
      <c r="K52" s="10"/>
      <c r="L52" s="10"/>
      <c r="M52" s="10"/>
    </row>
    <row r="53" customFormat="false" ht="15" hidden="false" customHeight="false" outlineLevel="0" collapsed="false">
      <c r="A53" s="18"/>
      <c r="B53" s="10"/>
      <c r="C53" s="10"/>
      <c r="D53" s="10"/>
      <c r="E53" s="19"/>
      <c r="F53" s="19"/>
      <c r="G53" s="10"/>
      <c r="H53" s="10"/>
      <c r="I53" s="10" t="str">
        <f aca="false">IF(A53="","",COUNTIF(02_Registro_Requisitos!$O$5:$O$204,A53))</f>
        <v/>
      </c>
      <c r="J53" s="10"/>
      <c r="K53" s="10"/>
      <c r="L53" s="10"/>
      <c r="M53" s="10"/>
    </row>
    <row r="54" customFormat="false" ht="15" hidden="false" customHeight="false" outlineLevel="0" collapsed="false">
      <c r="A54" s="18"/>
      <c r="B54" s="10"/>
      <c r="C54" s="10"/>
      <c r="D54" s="10"/>
      <c r="E54" s="19"/>
      <c r="F54" s="19"/>
      <c r="G54" s="10"/>
      <c r="H54" s="10"/>
      <c r="I54" s="10" t="str">
        <f aca="false">IF(A54="","",COUNTIF(02_Registro_Requisitos!$O$5:$O$204,A54))</f>
        <v/>
      </c>
      <c r="J54" s="10"/>
      <c r="K54" s="10"/>
      <c r="L54" s="10"/>
      <c r="M54" s="10"/>
    </row>
    <row r="55" customFormat="false" ht="15" hidden="false" customHeight="false" outlineLevel="0" collapsed="false">
      <c r="A55" s="18"/>
      <c r="B55" s="10"/>
      <c r="C55" s="10"/>
      <c r="D55" s="10"/>
      <c r="E55" s="19"/>
      <c r="F55" s="19"/>
      <c r="G55" s="10"/>
      <c r="H55" s="10"/>
      <c r="I55" s="10" t="str">
        <f aca="false">IF(A55="","",COUNTIF(02_Registro_Requisitos!$O$5:$O$204,A55))</f>
        <v/>
      </c>
      <c r="J55" s="10"/>
      <c r="K55" s="10"/>
      <c r="L55" s="10"/>
      <c r="M55" s="10"/>
    </row>
    <row r="56" customFormat="false" ht="15" hidden="false" customHeight="false" outlineLevel="0" collapsed="false">
      <c r="A56" s="18"/>
      <c r="B56" s="10"/>
      <c r="C56" s="10"/>
      <c r="D56" s="10"/>
      <c r="E56" s="19"/>
      <c r="F56" s="19"/>
      <c r="G56" s="10"/>
      <c r="H56" s="10"/>
      <c r="I56" s="10" t="str">
        <f aca="false">IF(A56="","",COUNTIF(02_Registro_Requisitos!$O$5:$O$204,A56))</f>
        <v/>
      </c>
      <c r="J56" s="10"/>
      <c r="K56" s="10"/>
      <c r="L56" s="10"/>
      <c r="M56" s="10"/>
    </row>
    <row r="57" customFormat="false" ht="15" hidden="false" customHeight="false" outlineLevel="0" collapsed="false">
      <c r="A57" s="18"/>
      <c r="B57" s="10"/>
      <c r="C57" s="10"/>
      <c r="D57" s="10"/>
      <c r="E57" s="19"/>
      <c r="F57" s="19"/>
      <c r="G57" s="10"/>
      <c r="H57" s="10"/>
      <c r="I57" s="10" t="str">
        <f aca="false">IF(A57="","",COUNTIF(02_Registro_Requisitos!$O$5:$O$204,A57))</f>
        <v/>
      </c>
      <c r="J57" s="10"/>
      <c r="K57" s="10"/>
      <c r="L57" s="10"/>
      <c r="M57" s="10"/>
    </row>
    <row r="58" customFormat="false" ht="15" hidden="false" customHeight="false" outlineLevel="0" collapsed="false">
      <c r="A58" s="18"/>
      <c r="B58" s="10"/>
      <c r="C58" s="10"/>
      <c r="D58" s="10"/>
      <c r="E58" s="19"/>
      <c r="F58" s="19"/>
      <c r="G58" s="10"/>
      <c r="H58" s="10"/>
      <c r="I58" s="10" t="str">
        <f aca="false">IF(A58="","",COUNTIF(02_Registro_Requisitos!$O$5:$O$204,A58))</f>
        <v/>
      </c>
      <c r="J58" s="10"/>
      <c r="K58" s="10"/>
      <c r="L58" s="10"/>
      <c r="M58" s="10"/>
    </row>
    <row r="59" customFormat="false" ht="15" hidden="false" customHeight="false" outlineLevel="0" collapsed="false">
      <c r="A59" s="18"/>
      <c r="B59" s="10"/>
      <c r="C59" s="10"/>
      <c r="D59" s="10"/>
      <c r="E59" s="19"/>
      <c r="F59" s="19"/>
      <c r="G59" s="10"/>
      <c r="H59" s="10"/>
      <c r="I59" s="10" t="str">
        <f aca="false">IF(A59="","",COUNTIF(02_Registro_Requisitos!$O$5:$O$204,A59))</f>
        <v/>
      </c>
      <c r="J59" s="10"/>
      <c r="K59" s="10"/>
      <c r="L59" s="10"/>
      <c r="M59" s="10"/>
    </row>
    <row r="60" customFormat="false" ht="15" hidden="false" customHeight="false" outlineLevel="0" collapsed="false">
      <c r="A60" s="18"/>
      <c r="B60" s="10"/>
      <c r="C60" s="10"/>
      <c r="D60" s="10"/>
      <c r="E60" s="19"/>
      <c r="F60" s="19"/>
      <c r="G60" s="10"/>
      <c r="H60" s="10"/>
      <c r="I60" s="10" t="str">
        <f aca="false">IF(A60="","",COUNTIF(02_Registro_Requisitos!$O$5:$O$204,A60))</f>
        <v/>
      </c>
      <c r="J60" s="10"/>
      <c r="K60" s="10"/>
      <c r="L60" s="10"/>
      <c r="M60" s="10"/>
    </row>
    <row r="61" customFormat="false" ht="15" hidden="false" customHeight="false" outlineLevel="0" collapsed="false">
      <c r="A61" s="18"/>
      <c r="B61" s="10"/>
      <c r="C61" s="10"/>
      <c r="D61" s="10"/>
      <c r="E61" s="19"/>
      <c r="F61" s="19"/>
      <c r="G61" s="10"/>
      <c r="H61" s="10"/>
      <c r="I61" s="10" t="str">
        <f aca="false">IF(A61="","",COUNTIF(02_Registro_Requisitos!$O$5:$O$204,A61))</f>
        <v/>
      </c>
      <c r="J61" s="10"/>
      <c r="K61" s="10"/>
      <c r="L61" s="10"/>
      <c r="M61" s="10"/>
    </row>
    <row r="62" customFormat="false" ht="15" hidden="false" customHeight="false" outlineLevel="0" collapsed="false">
      <c r="A62" s="18"/>
      <c r="B62" s="10"/>
      <c r="C62" s="10"/>
      <c r="D62" s="10"/>
      <c r="E62" s="19"/>
      <c r="F62" s="19"/>
      <c r="G62" s="10"/>
      <c r="H62" s="10"/>
      <c r="I62" s="10" t="str">
        <f aca="false">IF(A62="","",COUNTIF(02_Registro_Requisitos!$O$5:$O$204,A62))</f>
        <v/>
      </c>
      <c r="J62" s="10"/>
      <c r="K62" s="10"/>
      <c r="L62" s="10"/>
      <c r="M62" s="10"/>
    </row>
    <row r="63" customFormat="false" ht="15" hidden="false" customHeight="false" outlineLevel="0" collapsed="false">
      <c r="A63" s="18"/>
      <c r="B63" s="10"/>
      <c r="C63" s="10"/>
      <c r="D63" s="10"/>
      <c r="E63" s="19"/>
      <c r="F63" s="19"/>
      <c r="G63" s="10"/>
      <c r="H63" s="10"/>
      <c r="I63" s="10" t="str">
        <f aca="false">IF(A63="","",COUNTIF(02_Registro_Requisitos!$O$5:$O$204,A63))</f>
        <v/>
      </c>
      <c r="J63" s="10"/>
      <c r="K63" s="10"/>
      <c r="L63" s="10"/>
      <c r="M63" s="10"/>
    </row>
    <row r="64" customFormat="false" ht="15" hidden="false" customHeight="false" outlineLevel="0" collapsed="false">
      <c r="A64" s="18"/>
      <c r="B64" s="10"/>
      <c r="C64" s="10"/>
      <c r="D64" s="10"/>
      <c r="E64" s="19"/>
      <c r="F64" s="19"/>
      <c r="G64" s="10"/>
      <c r="H64" s="10"/>
      <c r="I64" s="10" t="str">
        <f aca="false">IF(A64="","",COUNTIF(02_Registro_Requisitos!$O$5:$O$204,A64))</f>
        <v/>
      </c>
      <c r="J64" s="10"/>
      <c r="K64" s="10"/>
      <c r="L64" s="10"/>
      <c r="M64" s="10"/>
    </row>
    <row r="65" customFormat="false" ht="15" hidden="false" customHeight="false" outlineLevel="0" collapsed="false">
      <c r="A65" s="18"/>
      <c r="B65" s="10"/>
      <c r="C65" s="10"/>
      <c r="D65" s="10"/>
      <c r="E65" s="19"/>
      <c r="F65" s="19"/>
      <c r="G65" s="10"/>
      <c r="H65" s="10"/>
      <c r="I65" s="10" t="str">
        <f aca="false">IF(A65="","",COUNTIF(02_Registro_Requisitos!$O$5:$O$204,A65))</f>
        <v/>
      </c>
      <c r="J65" s="10"/>
      <c r="K65" s="10"/>
      <c r="L65" s="10"/>
      <c r="M65" s="10"/>
    </row>
    <row r="66" customFormat="false" ht="15" hidden="false" customHeight="false" outlineLevel="0" collapsed="false">
      <c r="A66" s="18"/>
      <c r="B66" s="10"/>
      <c r="C66" s="10"/>
      <c r="D66" s="10"/>
      <c r="E66" s="19"/>
      <c r="F66" s="19"/>
      <c r="G66" s="10"/>
      <c r="H66" s="10"/>
      <c r="I66" s="10" t="str">
        <f aca="false">IF(A66="","",COUNTIF(02_Registro_Requisitos!$O$5:$O$204,A66))</f>
        <v/>
      </c>
      <c r="J66" s="10"/>
      <c r="K66" s="10"/>
      <c r="L66" s="10"/>
      <c r="M66" s="10"/>
    </row>
    <row r="67" customFormat="false" ht="15" hidden="false" customHeight="false" outlineLevel="0" collapsed="false">
      <c r="A67" s="18"/>
      <c r="B67" s="10"/>
      <c r="C67" s="10"/>
      <c r="D67" s="10"/>
      <c r="E67" s="19"/>
      <c r="F67" s="19"/>
      <c r="G67" s="10"/>
      <c r="H67" s="10"/>
      <c r="I67" s="10" t="str">
        <f aca="false">IF(A67="","",COUNTIF(02_Registro_Requisitos!$O$5:$O$204,A67))</f>
        <v/>
      </c>
      <c r="J67" s="10"/>
      <c r="K67" s="10"/>
      <c r="L67" s="10"/>
      <c r="M67" s="10"/>
    </row>
    <row r="68" customFormat="false" ht="15" hidden="false" customHeight="false" outlineLevel="0" collapsed="false">
      <c r="A68" s="18"/>
      <c r="B68" s="10"/>
      <c r="C68" s="10"/>
      <c r="D68" s="10"/>
      <c r="E68" s="19"/>
      <c r="F68" s="19"/>
      <c r="G68" s="10"/>
      <c r="H68" s="10"/>
      <c r="I68" s="10" t="str">
        <f aca="false">IF(A68="","",COUNTIF(02_Registro_Requisitos!$O$5:$O$204,A68))</f>
        <v/>
      </c>
      <c r="J68" s="10"/>
      <c r="K68" s="10"/>
      <c r="L68" s="10"/>
      <c r="M68" s="10"/>
    </row>
    <row r="69" customFormat="false" ht="15" hidden="false" customHeight="false" outlineLevel="0" collapsed="false">
      <c r="A69" s="18"/>
      <c r="B69" s="10"/>
      <c r="C69" s="10"/>
      <c r="D69" s="10"/>
      <c r="E69" s="19"/>
      <c r="F69" s="19"/>
      <c r="G69" s="10"/>
      <c r="H69" s="10"/>
      <c r="I69" s="10" t="str">
        <f aca="false">IF(A69="","",COUNTIF(02_Registro_Requisitos!$O$5:$O$204,A69))</f>
        <v/>
      </c>
      <c r="J69" s="10"/>
      <c r="K69" s="10"/>
      <c r="L69" s="10"/>
      <c r="M69" s="10"/>
    </row>
    <row r="70" customFormat="false" ht="15" hidden="false" customHeight="false" outlineLevel="0" collapsed="false">
      <c r="A70" s="18"/>
      <c r="B70" s="10"/>
      <c r="C70" s="10"/>
      <c r="D70" s="10"/>
      <c r="E70" s="19"/>
      <c r="F70" s="19"/>
      <c r="G70" s="10"/>
      <c r="H70" s="10"/>
      <c r="I70" s="10" t="str">
        <f aca="false">IF(A70="","",COUNTIF(02_Registro_Requisitos!$O$5:$O$204,A70))</f>
        <v/>
      </c>
      <c r="J70" s="10"/>
      <c r="K70" s="10"/>
      <c r="L70" s="10"/>
      <c r="M70" s="10"/>
    </row>
    <row r="71" customFormat="false" ht="15" hidden="false" customHeight="false" outlineLevel="0" collapsed="false">
      <c r="A71" s="18"/>
      <c r="B71" s="10"/>
      <c r="C71" s="10"/>
      <c r="D71" s="10"/>
      <c r="E71" s="19"/>
      <c r="F71" s="19"/>
      <c r="G71" s="10"/>
      <c r="H71" s="10"/>
      <c r="I71" s="10" t="str">
        <f aca="false">IF(A71="","",COUNTIF(02_Registro_Requisitos!$O$5:$O$204,A71))</f>
        <v/>
      </c>
      <c r="J71" s="10"/>
      <c r="K71" s="10"/>
      <c r="L71" s="10"/>
      <c r="M71" s="10"/>
    </row>
    <row r="72" customFormat="false" ht="15" hidden="false" customHeight="false" outlineLevel="0" collapsed="false">
      <c r="A72" s="18"/>
      <c r="B72" s="10"/>
      <c r="C72" s="10"/>
      <c r="D72" s="10"/>
      <c r="E72" s="19"/>
      <c r="F72" s="19"/>
      <c r="G72" s="10"/>
      <c r="H72" s="10"/>
      <c r="I72" s="10" t="str">
        <f aca="false">IF(A72="","",COUNTIF(02_Registro_Requisitos!$O$5:$O$204,A72))</f>
        <v/>
      </c>
      <c r="J72" s="10"/>
      <c r="K72" s="10"/>
      <c r="L72" s="10"/>
      <c r="M72" s="10"/>
    </row>
    <row r="73" customFormat="false" ht="15" hidden="false" customHeight="false" outlineLevel="0" collapsed="false">
      <c r="A73" s="18"/>
      <c r="B73" s="10"/>
      <c r="C73" s="10"/>
      <c r="D73" s="10"/>
      <c r="E73" s="19"/>
      <c r="F73" s="19"/>
      <c r="G73" s="10"/>
      <c r="H73" s="10"/>
      <c r="I73" s="10" t="str">
        <f aca="false">IF(A73="","",COUNTIF(02_Registro_Requisitos!$O$5:$O$204,A73))</f>
        <v/>
      </c>
      <c r="J73" s="10"/>
      <c r="K73" s="10"/>
      <c r="L73" s="10"/>
      <c r="M73" s="10"/>
    </row>
    <row r="74" customFormat="false" ht="15" hidden="false" customHeight="false" outlineLevel="0" collapsed="false">
      <c r="A74" s="18"/>
      <c r="B74" s="10"/>
      <c r="C74" s="10"/>
      <c r="D74" s="10"/>
      <c r="E74" s="19"/>
      <c r="F74" s="19"/>
      <c r="G74" s="10"/>
      <c r="H74" s="10"/>
      <c r="I74" s="10" t="str">
        <f aca="false">IF(A74="","",COUNTIF(02_Registro_Requisitos!$O$5:$O$204,A74))</f>
        <v/>
      </c>
      <c r="J74" s="10"/>
      <c r="K74" s="10"/>
      <c r="L74" s="10"/>
      <c r="M74" s="10"/>
    </row>
    <row r="75" customFormat="false" ht="15" hidden="false" customHeight="false" outlineLevel="0" collapsed="false">
      <c r="A75" s="18"/>
      <c r="B75" s="10"/>
      <c r="C75" s="10"/>
      <c r="D75" s="10"/>
      <c r="E75" s="19"/>
      <c r="F75" s="19"/>
      <c r="G75" s="10"/>
      <c r="H75" s="10"/>
      <c r="I75" s="10" t="str">
        <f aca="false">IF(A75="","",COUNTIF(02_Registro_Requisitos!$O$5:$O$204,A75))</f>
        <v/>
      </c>
      <c r="J75" s="10"/>
      <c r="K75" s="10"/>
      <c r="L75" s="10"/>
      <c r="M75" s="10"/>
    </row>
    <row r="76" customFormat="false" ht="15" hidden="false" customHeight="false" outlineLevel="0" collapsed="false">
      <c r="A76" s="18"/>
      <c r="B76" s="10"/>
      <c r="C76" s="10"/>
      <c r="D76" s="10"/>
      <c r="E76" s="19"/>
      <c r="F76" s="19"/>
      <c r="G76" s="10"/>
      <c r="H76" s="10"/>
      <c r="I76" s="10" t="str">
        <f aca="false">IF(A76="","",COUNTIF(02_Registro_Requisitos!$O$5:$O$204,A76))</f>
        <v/>
      </c>
      <c r="J76" s="10"/>
      <c r="K76" s="10"/>
      <c r="L76" s="10"/>
      <c r="M76" s="10"/>
    </row>
    <row r="77" customFormat="false" ht="15" hidden="false" customHeight="false" outlineLevel="0" collapsed="false">
      <c r="A77" s="18"/>
      <c r="B77" s="10"/>
      <c r="C77" s="10"/>
      <c r="D77" s="10"/>
      <c r="E77" s="19"/>
      <c r="F77" s="19"/>
      <c r="G77" s="10"/>
      <c r="H77" s="10"/>
      <c r="I77" s="10" t="str">
        <f aca="false">IF(A77="","",COUNTIF(02_Registro_Requisitos!$O$5:$O$204,A77))</f>
        <v/>
      </c>
      <c r="J77" s="10"/>
      <c r="K77" s="10"/>
      <c r="L77" s="10"/>
      <c r="M77" s="10"/>
    </row>
    <row r="78" customFormat="false" ht="15" hidden="false" customHeight="false" outlineLevel="0" collapsed="false">
      <c r="A78" s="18"/>
      <c r="B78" s="10"/>
      <c r="C78" s="10"/>
      <c r="D78" s="10"/>
      <c r="E78" s="19"/>
      <c r="F78" s="19"/>
      <c r="G78" s="10"/>
      <c r="H78" s="10"/>
      <c r="I78" s="10" t="str">
        <f aca="false">IF(A78="","",COUNTIF(02_Registro_Requisitos!$O$5:$O$204,A78))</f>
        <v/>
      </c>
      <c r="J78" s="10"/>
      <c r="K78" s="10"/>
      <c r="L78" s="10"/>
      <c r="M78" s="10"/>
    </row>
    <row r="79" customFormat="false" ht="15" hidden="false" customHeight="false" outlineLevel="0" collapsed="false">
      <c r="A79" s="18"/>
      <c r="B79" s="10"/>
      <c r="C79" s="10"/>
      <c r="D79" s="10"/>
      <c r="E79" s="19"/>
      <c r="F79" s="19"/>
      <c r="G79" s="10"/>
      <c r="H79" s="10"/>
      <c r="I79" s="10" t="str">
        <f aca="false">IF(A79="","",COUNTIF(02_Registro_Requisitos!$O$5:$O$204,A79))</f>
        <v/>
      </c>
      <c r="J79" s="10"/>
      <c r="K79" s="10"/>
      <c r="L79" s="10"/>
      <c r="M79" s="10"/>
    </row>
    <row r="80" customFormat="false" ht="15" hidden="false" customHeight="false" outlineLevel="0" collapsed="false">
      <c r="A80" s="18"/>
      <c r="B80" s="10"/>
      <c r="C80" s="10"/>
      <c r="D80" s="10"/>
      <c r="E80" s="19"/>
      <c r="F80" s="19"/>
      <c r="G80" s="10"/>
      <c r="H80" s="10"/>
      <c r="I80" s="10" t="str">
        <f aca="false">IF(A80="","",COUNTIF(02_Registro_Requisitos!$O$5:$O$204,A80))</f>
        <v/>
      </c>
      <c r="J80" s="10"/>
      <c r="K80" s="10"/>
      <c r="L80" s="10"/>
      <c r="M80" s="10"/>
    </row>
    <row r="81" customFormat="false" ht="15" hidden="false" customHeight="false" outlineLevel="0" collapsed="false">
      <c r="A81" s="18"/>
      <c r="B81" s="10"/>
      <c r="C81" s="10"/>
      <c r="D81" s="10"/>
      <c r="E81" s="19"/>
      <c r="F81" s="19"/>
      <c r="G81" s="10"/>
      <c r="H81" s="10"/>
      <c r="I81" s="10" t="str">
        <f aca="false">IF(A81="","",COUNTIF(02_Registro_Requisitos!$O$5:$O$204,A81))</f>
        <v/>
      </c>
      <c r="J81" s="10"/>
      <c r="K81" s="10"/>
      <c r="L81" s="10"/>
      <c r="M81" s="10"/>
    </row>
    <row r="82" customFormat="false" ht="15" hidden="false" customHeight="false" outlineLevel="0" collapsed="false">
      <c r="A82" s="18"/>
      <c r="B82" s="10"/>
      <c r="C82" s="10"/>
      <c r="D82" s="10"/>
      <c r="E82" s="19"/>
      <c r="F82" s="19"/>
      <c r="G82" s="10"/>
      <c r="H82" s="10"/>
      <c r="I82" s="10" t="str">
        <f aca="false">IF(A82="","",COUNTIF(02_Registro_Requisitos!$O$5:$O$204,A82))</f>
        <v/>
      </c>
      <c r="J82" s="10"/>
      <c r="K82" s="10"/>
      <c r="L82" s="10"/>
      <c r="M82" s="10"/>
    </row>
    <row r="83" customFormat="false" ht="15" hidden="false" customHeight="false" outlineLevel="0" collapsed="false">
      <c r="A83" s="18"/>
      <c r="B83" s="10"/>
      <c r="C83" s="10"/>
      <c r="D83" s="10"/>
      <c r="E83" s="19"/>
      <c r="F83" s="19"/>
      <c r="G83" s="10"/>
      <c r="H83" s="10"/>
      <c r="I83" s="10" t="str">
        <f aca="false">IF(A83="","",COUNTIF(02_Registro_Requisitos!$O$5:$O$204,A83))</f>
        <v/>
      </c>
      <c r="J83" s="10"/>
      <c r="K83" s="10"/>
      <c r="L83" s="10"/>
      <c r="M83" s="10"/>
    </row>
    <row r="84" customFormat="false" ht="15" hidden="false" customHeight="false" outlineLevel="0" collapsed="false">
      <c r="A84" s="18"/>
      <c r="B84" s="10"/>
      <c r="C84" s="10"/>
      <c r="D84" s="10"/>
      <c r="E84" s="19"/>
      <c r="F84" s="19"/>
      <c r="G84" s="10"/>
      <c r="H84" s="10"/>
      <c r="I84" s="10" t="str">
        <f aca="false">IF(A84="","",COUNTIF(02_Registro_Requisitos!$O$5:$O$204,A84))</f>
        <v/>
      </c>
      <c r="J84" s="10"/>
      <c r="K84" s="10"/>
      <c r="L84" s="10"/>
      <c r="M84" s="10"/>
    </row>
    <row r="85" customFormat="false" ht="15" hidden="false" customHeight="false" outlineLevel="0" collapsed="false">
      <c r="A85" s="18"/>
      <c r="B85" s="10"/>
      <c r="C85" s="10"/>
      <c r="D85" s="10"/>
      <c r="E85" s="19"/>
      <c r="F85" s="19"/>
      <c r="G85" s="10"/>
      <c r="H85" s="10"/>
      <c r="I85" s="10" t="str">
        <f aca="false">IF(A85="","",COUNTIF(02_Registro_Requisitos!$O$5:$O$204,A85))</f>
        <v/>
      </c>
      <c r="J85" s="10"/>
      <c r="K85" s="10"/>
      <c r="L85" s="10"/>
      <c r="M85" s="10"/>
    </row>
    <row r="86" customFormat="false" ht="15" hidden="false" customHeight="false" outlineLevel="0" collapsed="false">
      <c r="A86" s="18"/>
      <c r="B86" s="10"/>
      <c r="C86" s="10"/>
      <c r="D86" s="10"/>
      <c r="E86" s="19"/>
      <c r="F86" s="19"/>
      <c r="G86" s="10"/>
      <c r="H86" s="10"/>
      <c r="I86" s="10" t="str">
        <f aca="false">IF(A86="","",COUNTIF(02_Registro_Requisitos!$O$5:$O$204,A86))</f>
        <v/>
      </c>
      <c r="J86" s="10"/>
      <c r="K86" s="10"/>
      <c r="L86" s="10"/>
      <c r="M86" s="10"/>
    </row>
    <row r="87" customFormat="false" ht="15" hidden="false" customHeight="false" outlineLevel="0" collapsed="false">
      <c r="A87" s="18"/>
      <c r="B87" s="10"/>
      <c r="C87" s="10"/>
      <c r="D87" s="10"/>
      <c r="E87" s="19"/>
      <c r="F87" s="19"/>
      <c r="G87" s="10"/>
      <c r="H87" s="10"/>
      <c r="I87" s="10" t="str">
        <f aca="false">IF(A87="","",COUNTIF(02_Registro_Requisitos!$O$5:$O$204,A87))</f>
        <v/>
      </c>
      <c r="J87" s="10"/>
      <c r="K87" s="10"/>
      <c r="L87" s="10"/>
      <c r="M87" s="10"/>
    </row>
    <row r="88" customFormat="false" ht="15" hidden="false" customHeight="false" outlineLevel="0" collapsed="false">
      <c r="A88" s="18"/>
      <c r="B88" s="10"/>
      <c r="C88" s="10"/>
      <c r="D88" s="10"/>
      <c r="E88" s="19"/>
      <c r="F88" s="19"/>
      <c r="G88" s="10"/>
      <c r="H88" s="10"/>
      <c r="I88" s="10" t="str">
        <f aca="false">IF(A88="","",COUNTIF(02_Registro_Requisitos!$O$5:$O$204,A88))</f>
        <v/>
      </c>
      <c r="J88" s="10"/>
      <c r="K88" s="10"/>
      <c r="L88" s="10"/>
      <c r="M88" s="10"/>
    </row>
    <row r="89" customFormat="false" ht="15" hidden="false" customHeight="false" outlineLevel="0" collapsed="false">
      <c r="A89" s="18"/>
      <c r="B89" s="10"/>
      <c r="C89" s="10"/>
      <c r="D89" s="10"/>
      <c r="E89" s="19"/>
      <c r="F89" s="19"/>
      <c r="G89" s="10"/>
      <c r="H89" s="10"/>
      <c r="I89" s="10" t="str">
        <f aca="false">IF(A89="","",COUNTIF(02_Registro_Requisitos!$O$5:$O$204,A89))</f>
        <v/>
      </c>
      <c r="J89" s="10"/>
      <c r="K89" s="10"/>
      <c r="L89" s="10"/>
      <c r="M89" s="10"/>
    </row>
    <row r="90" customFormat="false" ht="15" hidden="false" customHeight="false" outlineLevel="0" collapsed="false">
      <c r="A90" s="18"/>
      <c r="B90" s="10"/>
      <c r="C90" s="10"/>
      <c r="D90" s="10"/>
      <c r="E90" s="19"/>
      <c r="F90" s="19"/>
      <c r="G90" s="10"/>
      <c r="H90" s="10"/>
      <c r="I90" s="10" t="str">
        <f aca="false">IF(A90="","",COUNTIF(02_Registro_Requisitos!$O$5:$O$204,A90))</f>
        <v/>
      </c>
      <c r="J90" s="10"/>
      <c r="K90" s="10"/>
      <c r="L90" s="10"/>
      <c r="M90" s="10"/>
    </row>
    <row r="91" customFormat="false" ht="15" hidden="false" customHeight="false" outlineLevel="0" collapsed="false">
      <c r="A91" s="18"/>
      <c r="B91" s="10"/>
      <c r="C91" s="10"/>
      <c r="D91" s="10"/>
      <c r="E91" s="19"/>
      <c r="F91" s="19"/>
      <c r="G91" s="10"/>
      <c r="H91" s="10"/>
      <c r="I91" s="10" t="str">
        <f aca="false">IF(A91="","",COUNTIF(02_Registro_Requisitos!$O$5:$O$204,A91))</f>
        <v/>
      </c>
      <c r="J91" s="10"/>
      <c r="K91" s="10"/>
      <c r="L91" s="10"/>
      <c r="M91" s="10"/>
    </row>
    <row r="92" customFormat="false" ht="15" hidden="false" customHeight="false" outlineLevel="0" collapsed="false">
      <c r="A92" s="18"/>
      <c r="B92" s="10"/>
      <c r="C92" s="10"/>
      <c r="D92" s="10"/>
      <c r="E92" s="19"/>
      <c r="F92" s="19"/>
      <c r="G92" s="10"/>
      <c r="H92" s="10"/>
      <c r="I92" s="10" t="str">
        <f aca="false">IF(A92="","",COUNTIF(02_Registro_Requisitos!$O$5:$O$204,A92))</f>
        <v/>
      </c>
      <c r="J92" s="10"/>
      <c r="K92" s="10"/>
      <c r="L92" s="10"/>
      <c r="M92" s="10"/>
    </row>
    <row r="93" customFormat="false" ht="15" hidden="false" customHeight="false" outlineLevel="0" collapsed="false">
      <c r="A93" s="18"/>
      <c r="B93" s="10"/>
      <c r="C93" s="10"/>
      <c r="D93" s="10"/>
      <c r="E93" s="19"/>
      <c r="F93" s="19"/>
      <c r="G93" s="10"/>
      <c r="H93" s="10"/>
      <c r="I93" s="10" t="str">
        <f aca="false">IF(A93="","",COUNTIF(02_Registro_Requisitos!$O$5:$O$204,A93))</f>
        <v/>
      </c>
      <c r="J93" s="10"/>
      <c r="K93" s="10"/>
      <c r="L93" s="10"/>
      <c r="M93" s="10"/>
    </row>
    <row r="94" customFormat="false" ht="15" hidden="false" customHeight="false" outlineLevel="0" collapsed="false">
      <c r="A94" s="18"/>
      <c r="B94" s="10"/>
      <c r="C94" s="10"/>
      <c r="D94" s="10"/>
      <c r="E94" s="19"/>
      <c r="F94" s="19"/>
      <c r="G94" s="10"/>
      <c r="H94" s="10"/>
      <c r="I94" s="10" t="str">
        <f aca="false">IF(A94="","",COUNTIF(02_Registro_Requisitos!$O$5:$O$204,A94))</f>
        <v/>
      </c>
      <c r="J94" s="10"/>
      <c r="K94" s="10"/>
      <c r="L94" s="10"/>
      <c r="M94" s="10"/>
    </row>
    <row r="95" customFormat="false" ht="15" hidden="false" customHeight="false" outlineLevel="0" collapsed="false">
      <c r="A95" s="18"/>
      <c r="B95" s="10"/>
      <c r="C95" s="10"/>
      <c r="D95" s="10"/>
      <c r="E95" s="19"/>
      <c r="F95" s="19"/>
      <c r="G95" s="10"/>
      <c r="H95" s="10"/>
      <c r="I95" s="10" t="str">
        <f aca="false">IF(A95="","",COUNTIF(02_Registro_Requisitos!$O$5:$O$204,A95))</f>
        <v/>
      </c>
      <c r="J95" s="10"/>
      <c r="K95" s="10"/>
      <c r="L95" s="10"/>
      <c r="M95" s="10"/>
    </row>
    <row r="96" customFormat="false" ht="15" hidden="false" customHeight="false" outlineLevel="0" collapsed="false">
      <c r="A96" s="18"/>
      <c r="B96" s="10"/>
      <c r="C96" s="10"/>
      <c r="D96" s="10"/>
      <c r="E96" s="19"/>
      <c r="F96" s="19"/>
      <c r="G96" s="10"/>
      <c r="H96" s="10"/>
      <c r="I96" s="10" t="str">
        <f aca="false">IF(A96="","",COUNTIF(02_Registro_Requisitos!$O$5:$O$204,A96))</f>
        <v/>
      </c>
      <c r="J96" s="10"/>
      <c r="K96" s="10"/>
      <c r="L96" s="10"/>
      <c r="M96" s="10"/>
    </row>
    <row r="97" customFormat="false" ht="15" hidden="false" customHeight="false" outlineLevel="0" collapsed="false">
      <c r="A97" s="18"/>
      <c r="B97" s="10"/>
      <c r="C97" s="10"/>
      <c r="D97" s="10"/>
      <c r="E97" s="19"/>
      <c r="F97" s="19"/>
      <c r="G97" s="10"/>
      <c r="H97" s="10"/>
      <c r="I97" s="10" t="str">
        <f aca="false">IF(A97="","",COUNTIF(02_Registro_Requisitos!$O$5:$O$204,A97))</f>
        <v/>
      </c>
      <c r="J97" s="10"/>
      <c r="K97" s="10"/>
      <c r="L97" s="10"/>
      <c r="M97" s="10"/>
    </row>
    <row r="98" customFormat="false" ht="15" hidden="false" customHeight="false" outlineLevel="0" collapsed="false">
      <c r="A98" s="18"/>
      <c r="B98" s="10"/>
      <c r="C98" s="10"/>
      <c r="D98" s="10"/>
      <c r="E98" s="19"/>
      <c r="F98" s="19"/>
      <c r="G98" s="10"/>
      <c r="H98" s="10"/>
      <c r="I98" s="10" t="str">
        <f aca="false">IF(A98="","",COUNTIF(02_Registro_Requisitos!$O$5:$O$204,A98))</f>
        <v/>
      </c>
      <c r="J98" s="10"/>
      <c r="K98" s="10"/>
      <c r="L98" s="10"/>
      <c r="M98" s="10"/>
    </row>
    <row r="99" customFormat="false" ht="15" hidden="false" customHeight="false" outlineLevel="0" collapsed="false">
      <c r="A99" s="18"/>
      <c r="B99" s="10"/>
      <c r="C99" s="10"/>
      <c r="D99" s="10"/>
      <c r="E99" s="19"/>
      <c r="F99" s="19"/>
      <c r="G99" s="10"/>
      <c r="H99" s="10"/>
      <c r="I99" s="10" t="str">
        <f aca="false">IF(A99="","",COUNTIF(02_Registro_Requisitos!$O$5:$O$204,A99))</f>
        <v/>
      </c>
      <c r="J99" s="10"/>
      <c r="K99" s="10"/>
      <c r="L99" s="10"/>
      <c r="M99" s="10"/>
    </row>
    <row r="100" customFormat="false" ht="15" hidden="false" customHeight="false" outlineLevel="0" collapsed="false">
      <c r="A100" s="18"/>
      <c r="B100" s="10"/>
      <c r="C100" s="10"/>
      <c r="D100" s="10"/>
      <c r="E100" s="19"/>
      <c r="F100" s="19"/>
      <c r="G100" s="10"/>
      <c r="H100" s="10"/>
      <c r="I100" s="10" t="str">
        <f aca="false">IF(A100="","",COUNTIF(02_Registro_Requisitos!$O$5:$O$204,A100))</f>
        <v/>
      </c>
      <c r="J100" s="10"/>
      <c r="K100" s="10"/>
      <c r="L100" s="10"/>
      <c r="M100" s="10"/>
    </row>
    <row r="101" customFormat="false" ht="15" hidden="false" customHeight="false" outlineLevel="0" collapsed="false">
      <c r="A101" s="18"/>
      <c r="B101" s="10"/>
      <c r="C101" s="10"/>
      <c r="D101" s="10"/>
      <c r="E101" s="19"/>
      <c r="F101" s="19"/>
      <c r="G101" s="10"/>
      <c r="H101" s="10"/>
      <c r="I101" s="10" t="str">
        <f aca="false">IF(A101="","",COUNTIF(02_Registro_Requisitos!$O$5:$O$204,A101))</f>
        <v/>
      </c>
      <c r="J101" s="10"/>
      <c r="K101" s="10"/>
      <c r="L101" s="10"/>
      <c r="M101" s="10"/>
    </row>
    <row r="102" customFormat="false" ht="15" hidden="false" customHeight="false" outlineLevel="0" collapsed="false">
      <c r="A102" s="18"/>
      <c r="B102" s="10"/>
      <c r="C102" s="10"/>
      <c r="D102" s="10"/>
      <c r="E102" s="19"/>
      <c r="F102" s="19"/>
      <c r="G102" s="10"/>
      <c r="H102" s="10"/>
      <c r="I102" s="10" t="str">
        <f aca="false">IF(A102="","",COUNTIF(02_Registro_Requisitos!$O$5:$O$204,A102))</f>
        <v/>
      </c>
      <c r="J102" s="10"/>
      <c r="K102" s="10"/>
      <c r="L102" s="10"/>
      <c r="M102" s="10"/>
    </row>
    <row r="103" customFormat="false" ht="15" hidden="false" customHeight="false" outlineLevel="0" collapsed="false">
      <c r="A103" s="18"/>
      <c r="B103" s="10"/>
      <c r="C103" s="10"/>
      <c r="D103" s="10"/>
      <c r="E103" s="19"/>
      <c r="F103" s="19"/>
      <c r="G103" s="10"/>
      <c r="H103" s="10"/>
      <c r="I103" s="10" t="str">
        <f aca="false">IF(A103="","",COUNTIF(02_Registro_Requisitos!$O$5:$O$204,A103))</f>
        <v/>
      </c>
      <c r="J103" s="10"/>
      <c r="K103" s="10"/>
      <c r="L103" s="10"/>
      <c r="M103" s="10"/>
    </row>
    <row r="104" customFormat="false" ht="15" hidden="false" customHeight="false" outlineLevel="0" collapsed="false">
      <c r="A104" s="18"/>
      <c r="B104" s="10"/>
      <c r="C104" s="10"/>
      <c r="D104" s="10"/>
      <c r="E104" s="19"/>
      <c r="F104" s="19"/>
      <c r="G104" s="10"/>
      <c r="H104" s="10"/>
      <c r="I104" s="10" t="str">
        <f aca="false">IF(A104="","",COUNTIF(02_Registro_Requisitos!$O$5:$O$204,A104))</f>
        <v/>
      </c>
      <c r="J104" s="10"/>
      <c r="K104" s="10"/>
      <c r="L104" s="10"/>
      <c r="M104" s="10"/>
    </row>
    <row r="105" customFormat="false" ht="15" hidden="false" customHeight="false" outlineLevel="0" collapsed="false">
      <c r="A105" s="18"/>
      <c r="B105" s="10"/>
      <c r="C105" s="10"/>
      <c r="D105" s="10"/>
      <c r="E105" s="19"/>
      <c r="F105" s="19"/>
      <c r="G105" s="10"/>
      <c r="H105" s="10"/>
      <c r="I105" s="10" t="str">
        <f aca="false">IF(A105="","",COUNTIF(02_Registro_Requisitos!$O$5:$O$204,A105))</f>
        <v/>
      </c>
      <c r="J105" s="10"/>
      <c r="K105" s="10"/>
      <c r="L105" s="10"/>
      <c r="M105" s="10"/>
    </row>
    <row r="106" customFormat="false" ht="15" hidden="false" customHeight="false" outlineLevel="0" collapsed="false">
      <c r="A106" s="18"/>
      <c r="B106" s="10"/>
      <c r="C106" s="10"/>
      <c r="D106" s="10"/>
      <c r="E106" s="19"/>
      <c r="F106" s="19"/>
      <c r="G106" s="10"/>
      <c r="H106" s="10"/>
      <c r="I106" s="10" t="str">
        <f aca="false">IF(A106="","",COUNTIF(02_Registro_Requisitos!$O$5:$O$204,A106))</f>
        <v/>
      </c>
      <c r="J106" s="10"/>
      <c r="K106" s="10"/>
      <c r="L106" s="10"/>
      <c r="M106" s="10"/>
    </row>
    <row r="107" customFormat="false" ht="15" hidden="false" customHeight="false" outlineLevel="0" collapsed="false">
      <c r="A107" s="18"/>
      <c r="B107" s="10"/>
      <c r="C107" s="10"/>
      <c r="D107" s="10"/>
      <c r="E107" s="19"/>
      <c r="F107" s="19"/>
      <c r="G107" s="10"/>
      <c r="H107" s="10"/>
      <c r="I107" s="10" t="str">
        <f aca="false">IF(A107="","",COUNTIF(02_Registro_Requisitos!$O$5:$O$204,A107))</f>
        <v/>
      </c>
      <c r="J107" s="10"/>
      <c r="K107" s="10"/>
      <c r="L107" s="10"/>
      <c r="M107" s="10"/>
    </row>
    <row r="108" customFormat="false" ht="15" hidden="false" customHeight="false" outlineLevel="0" collapsed="false">
      <c r="A108" s="18"/>
      <c r="B108" s="10"/>
      <c r="C108" s="10"/>
      <c r="D108" s="10"/>
      <c r="E108" s="19"/>
      <c r="F108" s="19"/>
      <c r="G108" s="10"/>
      <c r="H108" s="10"/>
      <c r="I108" s="10" t="str">
        <f aca="false">IF(A108="","",COUNTIF(02_Registro_Requisitos!$O$5:$O$204,A108))</f>
        <v/>
      </c>
      <c r="J108" s="10"/>
      <c r="K108" s="10"/>
      <c r="L108" s="10"/>
      <c r="M108" s="10"/>
    </row>
    <row r="109" customFormat="false" ht="15" hidden="false" customHeight="false" outlineLevel="0" collapsed="false">
      <c r="A109" s="18"/>
      <c r="B109" s="10"/>
      <c r="C109" s="10"/>
      <c r="D109" s="10"/>
      <c r="E109" s="19"/>
      <c r="F109" s="19"/>
      <c r="G109" s="10"/>
      <c r="H109" s="10"/>
      <c r="I109" s="10" t="str">
        <f aca="false">IF(A109="","",COUNTIF(02_Registro_Requisitos!$O$5:$O$204,A109))</f>
        <v/>
      </c>
      <c r="J109" s="10"/>
      <c r="K109" s="10"/>
      <c r="L109" s="10"/>
      <c r="M109" s="10"/>
    </row>
    <row r="110" customFormat="false" ht="15" hidden="false" customHeight="false" outlineLevel="0" collapsed="false">
      <c r="A110" s="18"/>
      <c r="B110" s="10"/>
      <c r="C110" s="10"/>
      <c r="D110" s="10"/>
      <c r="E110" s="19"/>
      <c r="F110" s="19"/>
      <c r="G110" s="10"/>
      <c r="H110" s="10"/>
      <c r="I110" s="10" t="str">
        <f aca="false">IF(A110="","",COUNTIF(02_Registro_Requisitos!$O$5:$O$204,A110))</f>
        <v/>
      </c>
      <c r="J110" s="10"/>
      <c r="K110" s="10"/>
      <c r="L110" s="10"/>
      <c r="M110" s="10"/>
    </row>
    <row r="111" customFormat="false" ht="15" hidden="false" customHeight="false" outlineLevel="0" collapsed="false">
      <c r="A111" s="18"/>
      <c r="B111" s="10"/>
      <c r="C111" s="10"/>
      <c r="D111" s="10"/>
      <c r="E111" s="19"/>
      <c r="F111" s="19"/>
      <c r="G111" s="10"/>
      <c r="H111" s="10"/>
      <c r="I111" s="10" t="str">
        <f aca="false">IF(A111="","",COUNTIF(02_Registro_Requisitos!$O$5:$O$204,A111))</f>
        <v/>
      </c>
      <c r="J111" s="10"/>
      <c r="K111" s="10"/>
      <c r="L111" s="10"/>
      <c r="M111" s="10"/>
    </row>
    <row r="112" customFormat="false" ht="15" hidden="false" customHeight="false" outlineLevel="0" collapsed="false">
      <c r="A112" s="18"/>
      <c r="B112" s="10"/>
      <c r="C112" s="10"/>
      <c r="D112" s="10"/>
      <c r="E112" s="19"/>
      <c r="F112" s="19"/>
      <c r="G112" s="10"/>
      <c r="H112" s="10"/>
      <c r="I112" s="10" t="str">
        <f aca="false">IF(A112="","",COUNTIF(02_Registro_Requisitos!$O$5:$O$204,A112))</f>
        <v/>
      </c>
      <c r="J112" s="10"/>
      <c r="K112" s="10"/>
      <c r="L112" s="10"/>
      <c r="M112" s="10"/>
    </row>
    <row r="113" customFormat="false" ht="15" hidden="false" customHeight="false" outlineLevel="0" collapsed="false">
      <c r="A113" s="18"/>
      <c r="B113" s="10"/>
      <c r="C113" s="10"/>
      <c r="D113" s="10"/>
      <c r="E113" s="19"/>
      <c r="F113" s="19"/>
      <c r="G113" s="10"/>
      <c r="H113" s="10"/>
      <c r="I113" s="10" t="str">
        <f aca="false">IF(A113="","",COUNTIF(02_Registro_Requisitos!$O$5:$O$204,A113))</f>
        <v/>
      </c>
      <c r="J113" s="10"/>
      <c r="K113" s="10"/>
      <c r="L113" s="10"/>
      <c r="M113" s="10"/>
    </row>
    <row r="114" customFormat="false" ht="15" hidden="false" customHeight="false" outlineLevel="0" collapsed="false">
      <c r="A114" s="18"/>
      <c r="B114" s="10"/>
      <c r="C114" s="10"/>
      <c r="D114" s="10"/>
      <c r="E114" s="19"/>
      <c r="F114" s="19"/>
      <c r="G114" s="10"/>
      <c r="H114" s="10"/>
      <c r="I114" s="10" t="str">
        <f aca="false">IF(A114="","",COUNTIF(02_Registro_Requisitos!$O$5:$O$204,A114))</f>
        <v/>
      </c>
      <c r="J114" s="10"/>
      <c r="K114" s="10"/>
      <c r="L114" s="10"/>
      <c r="M114" s="10"/>
    </row>
    <row r="115" customFormat="false" ht="15" hidden="false" customHeight="false" outlineLevel="0" collapsed="false">
      <c r="A115" s="18"/>
      <c r="B115" s="10"/>
      <c r="C115" s="10"/>
      <c r="D115" s="10"/>
      <c r="E115" s="19"/>
      <c r="F115" s="19"/>
      <c r="G115" s="10"/>
      <c r="H115" s="10"/>
      <c r="I115" s="10" t="str">
        <f aca="false">IF(A115="","",COUNTIF(02_Registro_Requisitos!$O$5:$O$204,A115))</f>
        <v/>
      </c>
      <c r="J115" s="10"/>
      <c r="K115" s="10"/>
      <c r="L115" s="10"/>
      <c r="M115" s="10"/>
    </row>
    <row r="116" customFormat="false" ht="15" hidden="false" customHeight="false" outlineLevel="0" collapsed="false">
      <c r="A116" s="18"/>
      <c r="B116" s="10"/>
      <c r="C116" s="10"/>
      <c r="D116" s="10"/>
      <c r="E116" s="19"/>
      <c r="F116" s="19"/>
      <c r="G116" s="10"/>
      <c r="H116" s="10"/>
      <c r="I116" s="10" t="str">
        <f aca="false">IF(A116="","",COUNTIF(02_Registro_Requisitos!$O$5:$O$204,A116))</f>
        <v/>
      </c>
      <c r="J116" s="10"/>
      <c r="K116" s="10"/>
      <c r="L116" s="10"/>
      <c r="M116" s="10"/>
    </row>
    <row r="117" customFormat="false" ht="15" hidden="false" customHeight="false" outlineLevel="0" collapsed="false">
      <c r="A117" s="18"/>
      <c r="B117" s="10"/>
      <c r="C117" s="10"/>
      <c r="D117" s="10"/>
      <c r="E117" s="19"/>
      <c r="F117" s="19"/>
      <c r="G117" s="10"/>
      <c r="H117" s="10"/>
      <c r="I117" s="10" t="str">
        <f aca="false">IF(A117="","",COUNTIF(02_Registro_Requisitos!$O$5:$O$204,A117))</f>
        <v/>
      </c>
      <c r="J117" s="10"/>
      <c r="K117" s="10"/>
      <c r="L117" s="10"/>
      <c r="M117" s="10"/>
    </row>
    <row r="118" customFormat="false" ht="15" hidden="false" customHeight="false" outlineLevel="0" collapsed="false">
      <c r="A118" s="18"/>
      <c r="B118" s="10"/>
      <c r="C118" s="10"/>
      <c r="D118" s="10"/>
      <c r="E118" s="19"/>
      <c r="F118" s="19"/>
      <c r="G118" s="10"/>
      <c r="H118" s="10"/>
      <c r="I118" s="10" t="str">
        <f aca="false">IF(A118="","",COUNTIF(02_Registro_Requisitos!$O$5:$O$204,A118))</f>
        <v/>
      </c>
      <c r="J118" s="10"/>
      <c r="K118" s="10"/>
      <c r="L118" s="10"/>
      <c r="M118" s="10"/>
    </row>
    <row r="119" customFormat="false" ht="15" hidden="false" customHeight="false" outlineLevel="0" collapsed="false">
      <c r="A119" s="18"/>
      <c r="B119" s="10"/>
      <c r="C119" s="10"/>
      <c r="D119" s="10"/>
      <c r="E119" s="19"/>
      <c r="F119" s="19"/>
      <c r="G119" s="10"/>
      <c r="H119" s="10"/>
      <c r="I119" s="10" t="str">
        <f aca="false">IF(A119="","",COUNTIF(02_Registro_Requisitos!$O$5:$O$204,A119))</f>
        <v/>
      </c>
      <c r="J119" s="10"/>
      <c r="K119" s="10"/>
      <c r="L119" s="10"/>
      <c r="M119" s="10"/>
    </row>
    <row r="120" customFormat="false" ht="15" hidden="false" customHeight="false" outlineLevel="0" collapsed="false">
      <c r="A120" s="18"/>
      <c r="B120" s="10"/>
      <c r="C120" s="10"/>
      <c r="D120" s="10"/>
      <c r="E120" s="19"/>
      <c r="F120" s="19"/>
      <c r="G120" s="10"/>
      <c r="H120" s="10"/>
      <c r="I120" s="10" t="str">
        <f aca="false">IF(A120="","",COUNTIF(02_Registro_Requisitos!$O$5:$O$204,A120))</f>
        <v/>
      </c>
      <c r="J120" s="10"/>
      <c r="K120" s="10"/>
      <c r="L120" s="10"/>
      <c r="M120" s="10"/>
    </row>
    <row r="121" customFormat="false" ht="15" hidden="false" customHeight="false" outlineLevel="0" collapsed="false">
      <c r="A121" s="18"/>
      <c r="B121" s="10"/>
      <c r="C121" s="10"/>
      <c r="D121" s="10"/>
      <c r="E121" s="19"/>
      <c r="F121" s="19"/>
      <c r="G121" s="10"/>
      <c r="H121" s="10"/>
      <c r="I121" s="10" t="str">
        <f aca="false">IF(A121="","",COUNTIF(02_Registro_Requisitos!$O$5:$O$204,A121))</f>
        <v/>
      </c>
      <c r="J121" s="10"/>
      <c r="K121" s="10"/>
      <c r="L121" s="10"/>
      <c r="M121" s="10"/>
    </row>
    <row r="122" customFormat="false" ht="15" hidden="false" customHeight="false" outlineLevel="0" collapsed="false">
      <c r="A122" s="18"/>
      <c r="B122" s="10"/>
      <c r="C122" s="10"/>
      <c r="D122" s="10"/>
      <c r="E122" s="19"/>
      <c r="F122" s="19"/>
      <c r="G122" s="10"/>
      <c r="H122" s="10"/>
      <c r="I122" s="10" t="str">
        <f aca="false">IF(A122="","",COUNTIF(02_Registro_Requisitos!$O$5:$O$204,A122))</f>
        <v/>
      </c>
      <c r="J122" s="10"/>
      <c r="K122" s="10"/>
      <c r="L122" s="10"/>
      <c r="M122" s="10"/>
    </row>
    <row r="123" customFormat="false" ht="15" hidden="false" customHeight="false" outlineLevel="0" collapsed="false">
      <c r="A123" s="18"/>
      <c r="B123" s="10"/>
      <c r="C123" s="10"/>
      <c r="D123" s="10"/>
      <c r="E123" s="19"/>
      <c r="F123" s="19"/>
      <c r="G123" s="10"/>
      <c r="H123" s="10"/>
      <c r="I123" s="10" t="str">
        <f aca="false">IF(A123="","",COUNTIF(02_Registro_Requisitos!$O$5:$O$204,A123))</f>
        <v/>
      </c>
      <c r="J123" s="10"/>
      <c r="K123" s="10"/>
      <c r="L123" s="10"/>
      <c r="M123" s="10"/>
    </row>
    <row r="124" customFormat="false" ht="15" hidden="false" customHeight="false" outlineLevel="0" collapsed="false">
      <c r="A124" s="18"/>
      <c r="B124" s="10"/>
      <c r="C124" s="10"/>
      <c r="D124" s="10"/>
      <c r="E124" s="19"/>
      <c r="F124" s="19"/>
      <c r="G124" s="10"/>
      <c r="H124" s="10"/>
      <c r="I124" s="10" t="str">
        <f aca="false">IF(A124="","",COUNTIF(02_Registro_Requisitos!$O$5:$O$204,A124))</f>
        <v/>
      </c>
      <c r="J124" s="10"/>
      <c r="K124" s="10"/>
      <c r="L124" s="10"/>
      <c r="M124" s="10"/>
    </row>
    <row r="125" customFormat="false" ht="15" hidden="false" customHeight="false" outlineLevel="0" collapsed="false">
      <c r="A125" s="18"/>
      <c r="B125" s="10"/>
      <c r="C125" s="10"/>
      <c r="D125" s="10"/>
      <c r="E125" s="19"/>
      <c r="F125" s="19"/>
      <c r="G125" s="10"/>
      <c r="H125" s="10"/>
      <c r="I125" s="10" t="str">
        <f aca="false">IF(A125="","",COUNTIF(02_Registro_Requisitos!$O$5:$O$204,A125))</f>
        <v/>
      </c>
      <c r="J125" s="10"/>
      <c r="K125" s="10"/>
      <c r="L125" s="10"/>
      <c r="M125" s="10"/>
    </row>
    <row r="126" customFormat="false" ht="15" hidden="false" customHeight="false" outlineLevel="0" collapsed="false">
      <c r="A126" s="18"/>
      <c r="B126" s="10"/>
      <c r="C126" s="10"/>
      <c r="D126" s="10"/>
      <c r="E126" s="19"/>
      <c r="F126" s="19"/>
      <c r="G126" s="10"/>
      <c r="H126" s="10"/>
      <c r="I126" s="10" t="str">
        <f aca="false">IF(A126="","",COUNTIF(02_Registro_Requisitos!$O$5:$O$204,A126))</f>
        <v/>
      </c>
      <c r="J126" s="10"/>
      <c r="K126" s="10"/>
      <c r="L126" s="10"/>
      <c r="M126" s="10"/>
    </row>
    <row r="127" customFormat="false" ht="15" hidden="false" customHeight="false" outlineLevel="0" collapsed="false">
      <c r="A127" s="18"/>
      <c r="B127" s="10"/>
      <c r="C127" s="10"/>
      <c r="D127" s="10"/>
      <c r="E127" s="19"/>
      <c r="F127" s="19"/>
      <c r="G127" s="10"/>
      <c r="H127" s="10"/>
      <c r="I127" s="10" t="str">
        <f aca="false">IF(A127="","",COUNTIF(02_Registro_Requisitos!$O$5:$O$204,A127))</f>
        <v/>
      </c>
      <c r="J127" s="10"/>
      <c r="K127" s="10"/>
      <c r="L127" s="10"/>
      <c r="M127" s="10"/>
    </row>
    <row r="128" customFormat="false" ht="15" hidden="false" customHeight="false" outlineLevel="0" collapsed="false">
      <c r="A128" s="18"/>
      <c r="B128" s="10"/>
      <c r="C128" s="10"/>
      <c r="D128" s="10"/>
      <c r="E128" s="19"/>
      <c r="F128" s="19"/>
      <c r="G128" s="10"/>
      <c r="H128" s="10"/>
      <c r="I128" s="10" t="str">
        <f aca="false">IF(A128="","",COUNTIF(02_Registro_Requisitos!$O$5:$O$204,A128))</f>
        <v/>
      </c>
      <c r="J128" s="10"/>
      <c r="K128" s="10"/>
      <c r="L128" s="10"/>
      <c r="M128" s="10"/>
    </row>
    <row r="129" customFormat="false" ht="15" hidden="false" customHeight="false" outlineLevel="0" collapsed="false">
      <c r="A129" s="18"/>
      <c r="B129" s="10"/>
      <c r="C129" s="10"/>
      <c r="D129" s="10"/>
      <c r="E129" s="19"/>
      <c r="F129" s="19"/>
      <c r="G129" s="10"/>
      <c r="H129" s="10"/>
      <c r="I129" s="10" t="str">
        <f aca="false">IF(A129="","",COUNTIF(02_Registro_Requisitos!$O$5:$O$204,A129))</f>
        <v/>
      </c>
      <c r="J129" s="10"/>
      <c r="K129" s="10"/>
      <c r="L129" s="10"/>
      <c r="M129" s="10"/>
    </row>
    <row r="130" customFormat="false" ht="15" hidden="false" customHeight="false" outlineLevel="0" collapsed="false">
      <c r="A130" s="18"/>
      <c r="B130" s="10"/>
      <c r="C130" s="10"/>
      <c r="D130" s="10"/>
      <c r="E130" s="19"/>
      <c r="F130" s="19"/>
      <c r="G130" s="10"/>
      <c r="H130" s="10"/>
      <c r="I130" s="10" t="str">
        <f aca="false">IF(A130="","",COUNTIF(02_Registro_Requisitos!$O$5:$O$204,A130))</f>
        <v/>
      </c>
      <c r="J130" s="10"/>
      <c r="K130" s="10"/>
      <c r="L130" s="10"/>
      <c r="M130" s="10"/>
    </row>
    <row r="131" customFormat="false" ht="15" hidden="false" customHeight="false" outlineLevel="0" collapsed="false">
      <c r="A131" s="18"/>
      <c r="B131" s="10"/>
      <c r="C131" s="10"/>
      <c r="D131" s="10"/>
      <c r="E131" s="19"/>
      <c r="F131" s="19"/>
      <c r="G131" s="10"/>
      <c r="H131" s="10"/>
      <c r="I131" s="10" t="str">
        <f aca="false">IF(A131="","",COUNTIF(02_Registro_Requisitos!$O$5:$O$204,A131))</f>
        <v/>
      </c>
      <c r="J131" s="10"/>
      <c r="K131" s="10"/>
      <c r="L131" s="10"/>
      <c r="M131" s="10"/>
    </row>
    <row r="132" customFormat="false" ht="15" hidden="false" customHeight="false" outlineLevel="0" collapsed="false">
      <c r="A132" s="18"/>
      <c r="B132" s="10"/>
      <c r="C132" s="10"/>
      <c r="D132" s="10"/>
      <c r="E132" s="19"/>
      <c r="F132" s="19"/>
      <c r="G132" s="10"/>
      <c r="H132" s="10"/>
      <c r="I132" s="10" t="str">
        <f aca="false">IF(A132="","",COUNTIF(02_Registro_Requisitos!$O$5:$O$204,A132))</f>
        <v/>
      </c>
      <c r="J132" s="10"/>
      <c r="K132" s="10"/>
      <c r="L132" s="10"/>
      <c r="M132" s="10"/>
    </row>
    <row r="133" customFormat="false" ht="15" hidden="false" customHeight="false" outlineLevel="0" collapsed="false">
      <c r="A133" s="18"/>
      <c r="B133" s="10"/>
      <c r="C133" s="10"/>
      <c r="D133" s="10"/>
      <c r="E133" s="19"/>
      <c r="F133" s="19"/>
      <c r="G133" s="10"/>
      <c r="H133" s="10"/>
      <c r="I133" s="10" t="str">
        <f aca="false">IF(A133="","",COUNTIF(02_Registro_Requisitos!$O$5:$O$204,A133))</f>
        <v/>
      </c>
      <c r="J133" s="10"/>
      <c r="K133" s="10"/>
      <c r="L133" s="10"/>
      <c r="M133" s="10"/>
    </row>
    <row r="134" customFormat="false" ht="15" hidden="false" customHeight="false" outlineLevel="0" collapsed="false">
      <c r="A134" s="18"/>
      <c r="B134" s="10"/>
      <c r="C134" s="10"/>
      <c r="D134" s="10"/>
      <c r="E134" s="19"/>
      <c r="F134" s="19"/>
      <c r="G134" s="10"/>
      <c r="H134" s="10"/>
      <c r="I134" s="10" t="str">
        <f aca="false">IF(A134="","",COUNTIF(02_Registro_Requisitos!$O$5:$O$204,A134))</f>
        <v/>
      </c>
      <c r="J134" s="10"/>
      <c r="K134" s="10"/>
      <c r="L134" s="10"/>
      <c r="M134" s="10"/>
    </row>
    <row r="135" customFormat="false" ht="15" hidden="false" customHeight="false" outlineLevel="0" collapsed="false">
      <c r="A135" s="18"/>
      <c r="B135" s="10"/>
      <c r="C135" s="10"/>
      <c r="D135" s="10"/>
      <c r="E135" s="19"/>
      <c r="F135" s="19"/>
      <c r="G135" s="10"/>
      <c r="H135" s="10"/>
      <c r="I135" s="10" t="str">
        <f aca="false">IF(A135="","",COUNTIF(02_Registro_Requisitos!$O$5:$O$204,A135))</f>
        <v/>
      </c>
      <c r="J135" s="10"/>
      <c r="K135" s="10"/>
      <c r="L135" s="10"/>
      <c r="M135" s="10"/>
    </row>
    <row r="136" customFormat="false" ht="15" hidden="false" customHeight="false" outlineLevel="0" collapsed="false">
      <c r="A136" s="18"/>
      <c r="B136" s="10"/>
      <c r="C136" s="10"/>
      <c r="D136" s="10"/>
      <c r="E136" s="19"/>
      <c r="F136" s="19"/>
      <c r="G136" s="10"/>
      <c r="H136" s="10"/>
      <c r="I136" s="10" t="str">
        <f aca="false">IF(A136="","",COUNTIF(02_Registro_Requisitos!$O$5:$O$204,A136))</f>
        <v/>
      </c>
      <c r="J136" s="10"/>
      <c r="K136" s="10"/>
      <c r="L136" s="10"/>
      <c r="M136" s="10"/>
    </row>
    <row r="137" customFormat="false" ht="15" hidden="false" customHeight="false" outlineLevel="0" collapsed="false">
      <c r="A137" s="18"/>
      <c r="B137" s="10"/>
      <c r="C137" s="10"/>
      <c r="D137" s="10"/>
      <c r="E137" s="19"/>
      <c r="F137" s="19"/>
      <c r="G137" s="10"/>
      <c r="H137" s="10"/>
      <c r="I137" s="10" t="str">
        <f aca="false">IF(A137="","",COUNTIF(02_Registro_Requisitos!$O$5:$O$204,A137))</f>
        <v/>
      </c>
      <c r="J137" s="10"/>
      <c r="K137" s="10"/>
      <c r="L137" s="10"/>
      <c r="M137" s="10"/>
    </row>
    <row r="138" customFormat="false" ht="15" hidden="false" customHeight="false" outlineLevel="0" collapsed="false">
      <c r="A138" s="18"/>
      <c r="B138" s="10"/>
      <c r="C138" s="10"/>
      <c r="D138" s="10"/>
      <c r="E138" s="19"/>
      <c r="F138" s="19"/>
      <c r="G138" s="10"/>
      <c r="H138" s="10"/>
      <c r="I138" s="10" t="str">
        <f aca="false">IF(A138="","",COUNTIF(02_Registro_Requisitos!$O$5:$O$204,A138))</f>
        <v/>
      </c>
      <c r="J138" s="10"/>
      <c r="K138" s="10"/>
      <c r="L138" s="10"/>
      <c r="M138" s="10"/>
    </row>
    <row r="139" customFormat="false" ht="15" hidden="false" customHeight="false" outlineLevel="0" collapsed="false">
      <c r="A139" s="18"/>
      <c r="B139" s="10"/>
      <c r="C139" s="10"/>
      <c r="D139" s="10"/>
      <c r="E139" s="19"/>
      <c r="F139" s="19"/>
      <c r="G139" s="10"/>
      <c r="H139" s="10"/>
      <c r="I139" s="10" t="str">
        <f aca="false">IF(A139="","",COUNTIF(02_Registro_Requisitos!$O$5:$O$204,A139))</f>
        <v/>
      </c>
      <c r="J139" s="10"/>
      <c r="K139" s="10"/>
      <c r="L139" s="10"/>
      <c r="M139" s="10"/>
    </row>
    <row r="140" customFormat="false" ht="15" hidden="false" customHeight="false" outlineLevel="0" collapsed="false">
      <c r="A140" s="18"/>
      <c r="B140" s="10"/>
      <c r="C140" s="10"/>
      <c r="D140" s="10"/>
      <c r="E140" s="19"/>
      <c r="F140" s="19"/>
      <c r="G140" s="10"/>
      <c r="H140" s="10"/>
      <c r="I140" s="10" t="str">
        <f aca="false">IF(A140="","",COUNTIF(02_Registro_Requisitos!$O$5:$O$204,A140))</f>
        <v/>
      </c>
      <c r="J140" s="10"/>
      <c r="K140" s="10"/>
      <c r="L140" s="10"/>
      <c r="M140" s="10"/>
    </row>
    <row r="141" customFormat="false" ht="15" hidden="false" customHeight="false" outlineLevel="0" collapsed="false">
      <c r="A141" s="18"/>
      <c r="B141" s="10"/>
      <c r="C141" s="10"/>
      <c r="D141" s="10"/>
      <c r="E141" s="19"/>
      <c r="F141" s="19"/>
      <c r="G141" s="10"/>
      <c r="H141" s="10"/>
      <c r="I141" s="10" t="str">
        <f aca="false">IF(A141="","",COUNTIF(02_Registro_Requisitos!$O$5:$O$204,A141))</f>
        <v/>
      </c>
      <c r="J141" s="10"/>
      <c r="K141" s="10"/>
      <c r="L141" s="10"/>
      <c r="M141" s="10"/>
    </row>
    <row r="142" customFormat="false" ht="15" hidden="false" customHeight="false" outlineLevel="0" collapsed="false">
      <c r="A142" s="18"/>
      <c r="B142" s="10"/>
      <c r="C142" s="10"/>
      <c r="D142" s="10"/>
      <c r="E142" s="19"/>
      <c r="F142" s="19"/>
      <c r="G142" s="10"/>
      <c r="H142" s="10"/>
      <c r="I142" s="10" t="str">
        <f aca="false">IF(A142="","",COUNTIF(02_Registro_Requisitos!$O$5:$O$204,A142))</f>
        <v/>
      </c>
      <c r="J142" s="10"/>
      <c r="K142" s="10"/>
      <c r="L142" s="10"/>
      <c r="M142" s="10"/>
    </row>
    <row r="143" customFormat="false" ht="15" hidden="false" customHeight="false" outlineLevel="0" collapsed="false">
      <c r="A143" s="18"/>
      <c r="B143" s="10"/>
      <c r="C143" s="10"/>
      <c r="D143" s="10"/>
      <c r="E143" s="19"/>
      <c r="F143" s="19"/>
      <c r="G143" s="10"/>
      <c r="H143" s="10"/>
      <c r="I143" s="10" t="str">
        <f aca="false">IF(A143="","",COUNTIF(02_Registro_Requisitos!$O$5:$O$204,A143))</f>
        <v/>
      </c>
      <c r="J143" s="10"/>
      <c r="K143" s="10"/>
      <c r="L143" s="10"/>
      <c r="M143" s="10"/>
    </row>
    <row r="144" customFormat="false" ht="15" hidden="false" customHeight="false" outlineLevel="0" collapsed="false">
      <c r="A144" s="18"/>
      <c r="B144" s="10"/>
      <c r="C144" s="10"/>
      <c r="D144" s="10"/>
      <c r="E144" s="19"/>
      <c r="F144" s="19"/>
      <c r="G144" s="10"/>
      <c r="H144" s="10"/>
      <c r="I144" s="10" t="str">
        <f aca="false">IF(A144="","",COUNTIF(02_Registro_Requisitos!$O$5:$O$204,A144))</f>
        <v/>
      </c>
      <c r="J144" s="10"/>
      <c r="K144" s="10"/>
      <c r="L144" s="10"/>
      <c r="M144" s="10"/>
    </row>
    <row r="145" customFormat="false" ht="15" hidden="false" customHeight="false" outlineLevel="0" collapsed="false">
      <c r="A145" s="18"/>
      <c r="B145" s="10"/>
      <c r="C145" s="10"/>
      <c r="D145" s="10"/>
      <c r="E145" s="19"/>
      <c r="F145" s="19"/>
      <c r="G145" s="10"/>
      <c r="H145" s="10"/>
      <c r="I145" s="10" t="str">
        <f aca="false">IF(A145="","",COUNTIF(02_Registro_Requisitos!$O$5:$O$204,A145))</f>
        <v/>
      </c>
      <c r="J145" s="10"/>
      <c r="K145" s="10"/>
      <c r="L145" s="10"/>
      <c r="M145" s="10"/>
    </row>
    <row r="146" customFormat="false" ht="15" hidden="false" customHeight="false" outlineLevel="0" collapsed="false">
      <c r="A146" s="18"/>
      <c r="B146" s="10"/>
      <c r="C146" s="10"/>
      <c r="D146" s="10"/>
      <c r="E146" s="19"/>
      <c r="F146" s="19"/>
      <c r="G146" s="10"/>
      <c r="H146" s="10"/>
      <c r="I146" s="10" t="str">
        <f aca="false">IF(A146="","",COUNTIF(02_Registro_Requisitos!$O$5:$O$204,A146))</f>
        <v/>
      </c>
      <c r="J146" s="10"/>
      <c r="K146" s="10"/>
      <c r="L146" s="10"/>
      <c r="M146" s="10"/>
    </row>
    <row r="147" customFormat="false" ht="15" hidden="false" customHeight="false" outlineLevel="0" collapsed="false">
      <c r="A147" s="18"/>
      <c r="B147" s="10"/>
      <c r="C147" s="10"/>
      <c r="D147" s="10"/>
      <c r="E147" s="19"/>
      <c r="F147" s="19"/>
      <c r="G147" s="10"/>
      <c r="H147" s="10"/>
      <c r="I147" s="10" t="str">
        <f aca="false">IF(A147="","",COUNTIF(02_Registro_Requisitos!$O$5:$O$204,A147))</f>
        <v/>
      </c>
      <c r="J147" s="10"/>
      <c r="K147" s="10"/>
      <c r="L147" s="10"/>
      <c r="M147" s="10"/>
    </row>
    <row r="148" customFormat="false" ht="15" hidden="false" customHeight="false" outlineLevel="0" collapsed="false">
      <c r="A148" s="18"/>
      <c r="B148" s="10"/>
      <c r="C148" s="10"/>
      <c r="D148" s="10"/>
      <c r="E148" s="19"/>
      <c r="F148" s="19"/>
      <c r="G148" s="10"/>
      <c r="H148" s="10"/>
      <c r="I148" s="10" t="str">
        <f aca="false">IF(A148="","",COUNTIF(02_Registro_Requisitos!$O$5:$O$204,A148))</f>
        <v/>
      </c>
      <c r="J148" s="10"/>
      <c r="K148" s="10"/>
      <c r="L148" s="10"/>
      <c r="M148" s="10"/>
    </row>
    <row r="149" customFormat="false" ht="15" hidden="false" customHeight="false" outlineLevel="0" collapsed="false">
      <c r="A149" s="18"/>
      <c r="B149" s="10"/>
      <c r="C149" s="10"/>
      <c r="D149" s="10"/>
      <c r="E149" s="19"/>
      <c r="F149" s="19"/>
      <c r="G149" s="10"/>
      <c r="H149" s="10"/>
      <c r="I149" s="10" t="str">
        <f aca="false">IF(A149="","",COUNTIF(02_Registro_Requisitos!$O$5:$O$204,A149))</f>
        <v/>
      </c>
      <c r="J149" s="10"/>
      <c r="K149" s="10"/>
      <c r="L149" s="10"/>
      <c r="M149" s="10"/>
    </row>
    <row r="150" customFormat="false" ht="15" hidden="false" customHeight="false" outlineLevel="0" collapsed="false">
      <c r="A150" s="18"/>
      <c r="B150" s="10"/>
      <c r="C150" s="10"/>
      <c r="D150" s="10"/>
      <c r="E150" s="19"/>
      <c r="F150" s="19"/>
      <c r="G150" s="10"/>
      <c r="H150" s="10"/>
      <c r="I150" s="10" t="str">
        <f aca="false">IF(A150="","",COUNTIF(02_Registro_Requisitos!$O$5:$O$204,A150))</f>
        <v/>
      </c>
      <c r="J150" s="10"/>
      <c r="K150" s="10"/>
      <c r="L150" s="10"/>
      <c r="M150" s="10"/>
    </row>
    <row r="151" customFormat="false" ht="15" hidden="false" customHeight="false" outlineLevel="0" collapsed="false">
      <c r="A151" s="18"/>
      <c r="B151" s="10"/>
      <c r="C151" s="10"/>
      <c r="D151" s="10"/>
      <c r="E151" s="19"/>
      <c r="F151" s="19"/>
      <c r="G151" s="10"/>
      <c r="H151" s="10"/>
      <c r="I151" s="10" t="str">
        <f aca="false">IF(A151="","",COUNTIF(02_Registro_Requisitos!$O$5:$O$204,A151))</f>
        <v/>
      </c>
      <c r="J151" s="10"/>
      <c r="K151" s="10"/>
      <c r="L151" s="10"/>
      <c r="M151" s="10"/>
    </row>
    <row r="152" customFormat="false" ht="15" hidden="false" customHeight="false" outlineLevel="0" collapsed="false">
      <c r="A152" s="18"/>
      <c r="B152" s="10"/>
      <c r="C152" s="10"/>
      <c r="D152" s="10"/>
      <c r="E152" s="19"/>
      <c r="F152" s="19"/>
      <c r="G152" s="10"/>
      <c r="H152" s="10"/>
      <c r="I152" s="10" t="str">
        <f aca="false">IF(A152="","",COUNTIF(02_Registro_Requisitos!$O$5:$O$204,A152))</f>
        <v/>
      </c>
      <c r="J152" s="10"/>
      <c r="K152" s="10"/>
      <c r="L152" s="10"/>
      <c r="M152" s="10"/>
    </row>
    <row r="153" customFormat="false" ht="15" hidden="false" customHeight="false" outlineLevel="0" collapsed="false">
      <c r="A153" s="18"/>
      <c r="B153" s="10"/>
      <c r="C153" s="10"/>
      <c r="D153" s="10"/>
      <c r="E153" s="19"/>
      <c r="F153" s="19"/>
      <c r="G153" s="10"/>
      <c r="H153" s="10"/>
      <c r="I153" s="10" t="str">
        <f aca="false">IF(A153="","",COUNTIF(02_Registro_Requisitos!$O$5:$O$204,A153))</f>
        <v/>
      </c>
      <c r="J153" s="10"/>
      <c r="K153" s="10"/>
      <c r="L153" s="10"/>
      <c r="M153" s="10"/>
    </row>
    <row r="154" customFormat="false" ht="15" hidden="false" customHeight="false" outlineLevel="0" collapsed="false">
      <c r="A154" s="18"/>
      <c r="B154" s="10"/>
      <c r="C154" s="10"/>
      <c r="D154" s="10"/>
      <c r="E154" s="19"/>
      <c r="F154" s="19"/>
      <c r="G154" s="10"/>
      <c r="H154" s="10"/>
      <c r="I154" s="10" t="str">
        <f aca="false">IF(A154="","",COUNTIF(02_Registro_Requisitos!$O$5:$O$204,A154))</f>
        <v/>
      </c>
      <c r="J154" s="10"/>
      <c r="K154" s="10"/>
      <c r="L154" s="10"/>
      <c r="M154" s="10"/>
    </row>
    <row r="155" customFormat="false" ht="15" hidden="false" customHeight="false" outlineLevel="0" collapsed="false">
      <c r="A155" s="18"/>
      <c r="B155" s="10"/>
      <c r="C155" s="10"/>
      <c r="D155" s="10"/>
      <c r="E155" s="19"/>
      <c r="F155" s="19"/>
      <c r="G155" s="10"/>
      <c r="H155" s="10"/>
      <c r="I155" s="10" t="str">
        <f aca="false">IF(A155="","",COUNTIF(02_Registro_Requisitos!$O$5:$O$204,A155))</f>
        <v/>
      </c>
      <c r="J155" s="10"/>
      <c r="K155" s="10"/>
      <c r="L155" s="10"/>
      <c r="M155" s="10"/>
    </row>
    <row r="156" customFormat="false" ht="15" hidden="false" customHeight="false" outlineLevel="0" collapsed="false">
      <c r="A156" s="18"/>
      <c r="B156" s="10"/>
      <c r="C156" s="10"/>
      <c r="D156" s="10"/>
      <c r="E156" s="19"/>
      <c r="F156" s="19"/>
      <c r="G156" s="10"/>
      <c r="H156" s="10"/>
      <c r="I156" s="10" t="str">
        <f aca="false">IF(A156="","",COUNTIF(02_Registro_Requisitos!$O$5:$O$204,A156))</f>
        <v/>
      </c>
      <c r="J156" s="10"/>
      <c r="K156" s="10"/>
      <c r="L156" s="10"/>
      <c r="M156" s="10"/>
    </row>
    <row r="157" customFormat="false" ht="15" hidden="false" customHeight="false" outlineLevel="0" collapsed="false">
      <c r="A157" s="18"/>
      <c r="B157" s="10"/>
      <c r="C157" s="10"/>
      <c r="D157" s="10"/>
      <c r="E157" s="19"/>
      <c r="F157" s="19"/>
      <c r="G157" s="10"/>
      <c r="H157" s="10"/>
      <c r="I157" s="10" t="str">
        <f aca="false">IF(A157="","",COUNTIF(02_Registro_Requisitos!$O$5:$O$204,A157))</f>
        <v/>
      </c>
      <c r="J157" s="10"/>
      <c r="K157" s="10"/>
      <c r="L157" s="10"/>
      <c r="M157" s="10"/>
    </row>
    <row r="158" customFormat="false" ht="15" hidden="false" customHeight="false" outlineLevel="0" collapsed="false">
      <c r="A158" s="18"/>
      <c r="B158" s="10"/>
      <c r="C158" s="10"/>
      <c r="D158" s="10"/>
      <c r="E158" s="19"/>
      <c r="F158" s="19"/>
      <c r="G158" s="10"/>
      <c r="H158" s="10"/>
      <c r="I158" s="10" t="str">
        <f aca="false">IF(A158="","",COUNTIF(02_Registro_Requisitos!$O$5:$O$204,A158))</f>
        <v/>
      </c>
      <c r="J158" s="10"/>
      <c r="K158" s="10"/>
      <c r="L158" s="10"/>
      <c r="M158" s="10"/>
    </row>
    <row r="159" customFormat="false" ht="15" hidden="false" customHeight="false" outlineLevel="0" collapsed="false">
      <c r="A159" s="18"/>
      <c r="B159" s="10"/>
      <c r="C159" s="10"/>
      <c r="D159" s="10"/>
      <c r="E159" s="19"/>
      <c r="F159" s="19"/>
      <c r="G159" s="10"/>
      <c r="H159" s="10"/>
      <c r="I159" s="10" t="str">
        <f aca="false">IF(A159="","",COUNTIF(02_Registro_Requisitos!$O$5:$O$204,A159))</f>
        <v/>
      </c>
      <c r="J159" s="10"/>
      <c r="K159" s="10"/>
      <c r="L159" s="10"/>
      <c r="M159" s="10"/>
    </row>
    <row r="160" customFormat="false" ht="15" hidden="false" customHeight="false" outlineLevel="0" collapsed="false">
      <c r="A160" s="18"/>
      <c r="B160" s="10"/>
      <c r="C160" s="10"/>
      <c r="D160" s="10"/>
      <c r="E160" s="19"/>
      <c r="F160" s="19"/>
      <c r="G160" s="10"/>
      <c r="H160" s="10"/>
      <c r="I160" s="10" t="str">
        <f aca="false">IF(A160="","",COUNTIF(02_Registro_Requisitos!$O$5:$O$204,A160))</f>
        <v/>
      </c>
      <c r="J160" s="10"/>
      <c r="K160" s="10"/>
      <c r="L160" s="10"/>
      <c r="M160" s="10"/>
    </row>
    <row r="161" customFormat="false" ht="15" hidden="false" customHeight="false" outlineLevel="0" collapsed="false">
      <c r="A161" s="18"/>
      <c r="B161" s="10"/>
      <c r="C161" s="10"/>
      <c r="D161" s="10"/>
      <c r="E161" s="19"/>
      <c r="F161" s="19"/>
      <c r="G161" s="10"/>
      <c r="H161" s="10"/>
      <c r="I161" s="10" t="str">
        <f aca="false">IF(A161="","",COUNTIF(02_Registro_Requisitos!$O$5:$O$204,A161))</f>
        <v/>
      </c>
      <c r="J161" s="10"/>
      <c r="K161" s="10"/>
      <c r="L161" s="10"/>
      <c r="M161" s="10"/>
    </row>
    <row r="162" customFormat="false" ht="15" hidden="false" customHeight="false" outlineLevel="0" collapsed="false">
      <c r="A162" s="18"/>
      <c r="B162" s="10"/>
      <c r="C162" s="10"/>
      <c r="D162" s="10"/>
      <c r="E162" s="19"/>
      <c r="F162" s="19"/>
      <c r="G162" s="10"/>
      <c r="H162" s="10"/>
      <c r="I162" s="10" t="str">
        <f aca="false">IF(A162="","",COUNTIF(02_Registro_Requisitos!$O$5:$O$204,A162))</f>
        <v/>
      </c>
      <c r="J162" s="10"/>
      <c r="K162" s="10"/>
      <c r="L162" s="10"/>
      <c r="M162" s="10"/>
    </row>
    <row r="163" customFormat="false" ht="15" hidden="false" customHeight="false" outlineLevel="0" collapsed="false">
      <c r="A163" s="18"/>
      <c r="B163" s="10"/>
      <c r="C163" s="10"/>
      <c r="D163" s="10"/>
      <c r="E163" s="19"/>
      <c r="F163" s="19"/>
      <c r="G163" s="10"/>
      <c r="H163" s="10"/>
      <c r="I163" s="10" t="str">
        <f aca="false">IF(A163="","",COUNTIF(02_Registro_Requisitos!$O$5:$O$204,A163))</f>
        <v/>
      </c>
      <c r="J163" s="10"/>
      <c r="K163" s="10"/>
      <c r="L163" s="10"/>
      <c r="M163" s="10"/>
    </row>
    <row r="164" customFormat="false" ht="15" hidden="false" customHeight="false" outlineLevel="0" collapsed="false">
      <c r="A164" s="18"/>
      <c r="B164" s="10"/>
      <c r="C164" s="10"/>
      <c r="D164" s="10"/>
      <c r="E164" s="19"/>
      <c r="F164" s="19"/>
      <c r="G164" s="10"/>
      <c r="H164" s="10"/>
      <c r="I164" s="10" t="str">
        <f aca="false">IF(A164="","",COUNTIF(02_Registro_Requisitos!$O$5:$O$204,A164))</f>
        <v/>
      </c>
      <c r="J164" s="10"/>
      <c r="K164" s="10"/>
      <c r="L164" s="10"/>
      <c r="M164" s="10"/>
    </row>
    <row r="165" customFormat="false" ht="15" hidden="false" customHeight="false" outlineLevel="0" collapsed="false">
      <c r="A165" s="18"/>
      <c r="B165" s="10"/>
      <c r="C165" s="10"/>
      <c r="D165" s="10"/>
      <c r="E165" s="19"/>
      <c r="F165" s="19"/>
      <c r="G165" s="10"/>
      <c r="H165" s="10"/>
      <c r="I165" s="10" t="str">
        <f aca="false">IF(A165="","",COUNTIF(02_Registro_Requisitos!$O$5:$O$204,A165))</f>
        <v/>
      </c>
      <c r="J165" s="10"/>
      <c r="K165" s="10"/>
      <c r="L165" s="10"/>
      <c r="M165" s="10"/>
    </row>
    <row r="166" customFormat="false" ht="15" hidden="false" customHeight="false" outlineLevel="0" collapsed="false">
      <c r="A166" s="18"/>
      <c r="B166" s="10"/>
      <c r="C166" s="10"/>
      <c r="D166" s="10"/>
      <c r="E166" s="19"/>
      <c r="F166" s="19"/>
      <c r="G166" s="10"/>
      <c r="H166" s="10"/>
      <c r="I166" s="10" t="str">
        <f aca="false">IF(A166="","",COUNTIF(02_Registro_Requisitos!$O$5:$O$204,A166))</f>
        <v/>
      </c>
      <c r="J166" s="10"/>
      <c r="K166" s="10"/>
      <c r="L166" s="10"/>
      <c r="M166" s="10"/>
    </row>
    <row r="167" customFormat="false" ht="15" hidden="false" customHeight="false" outlineLevel="0" collapsed="false">
      <c r="A167" s="18"/>
      <c r="B167" s="10"/>
      <c r="C167" s="10"/>
      <c r="D167" s="10"/>
      <c r="E167" s="19"/>
      <c r="F167" s="19"/>
      <c r="G167" s="10"/>
      <c r="H167" s="10"/>
      <c r="I167" s="10" t="str">
        <f aca="false">IF(A167="","",COUNTIF(02_Registro_Requisitos!$O$5:$O$204,A167))</f>
        <v/>
      </c>
      <c r="J167" s="10"/>
      <c r="K167" s="10"/>
      <c r="L167" s="10"/>
      <c r="M167" s="10"/>
    </row>
    <row r="168" customFormat="false" ht="15" hidden="false" customHeight="false" outlineLevel="0" collapsed="false">
      <c r="A168" s="18"/>
      <c r="B168" s="10"/>
      <c r="C168" s="10"/>
      <c r="D168" s="10"/>
      <c r="E168" s="19"/>
      <c r="F168" s="19"/>
      <c r="G168" s="10"/>
      <c r="H168" s="10"/>
      <c r="I168" s="10" t="str">
        <f aca="false">IF(A168="","",COUNTIF(02_Registro_Requisitos!$O$5:$O$204,A168))</f>
        <v/>
      </c>
      <c r="J168" s="10"/>
      <c r="K168" s="10"/>
      <c r="L168" s="10"/>
      <c r="M168" s="10"/>
    </row>
    <row r="169" customFormat="false" ht="15" hidden="false" customHeight="false" outlineLevel="0" collapsed="false">
      <c r="A169" s="18"/>
      <c r="B169" s="10"/>
      <c r="C169" s="10"/>
      <c r="D169" s="10"/>
      <c r="E169" s="19"/>
      <c r="F169" s="19"/>
      <c r="G169" s="10"/>
      <c r="H169" s="10"/>
      <c r="I169" s="10" t="str">
        <f aca="false">IF(A169="","",COUNTIF(02_Registro_Requisitos!$O$5:$O$204,A169))</f>
        <v/>
      </c>
      <c r="J169" s="10"/>
      <c r="K169" s="10"/>
      <c r="L169" s="10"/>
      <c r="M169" s="10"/>
    </row>
    <row r="170" customFormat="false" ht="15" hidden="false" customHeight="false" outlineLevel="0" collapsed="false">
      <c r="A170" s="18"/>
      <c r="B170" s="10"/>
      <c r="C170" s="10"/>
      <c r="D170" s="10"/>
      <c r="E170" s="19"/>
      <c r="F170" s="19"/>
      <c r="G170" s="10"/>
      <c r="H170" s="10"/>
      <c r="I170" s="10" t="str">
        <f aca="false">IF(A170="","",COUNTIF(02_Registro_Requisitos!$O$5:$O$204,A170))</f>
        <v/>
      </c>
      <c r="J170" s="10"/>
      <c r="K170" s="10"/>
      <c r="L170" s="10"/>
      <c r="M170" s="10"/>
    </row>
    <row r="171" customFormat="false" ht="15" hidden="false" customHeight="false" outlineLevel="0" collapsed="false">
      <c r="A171" s="18"/>
      <c r="B171" s="10"/>
      <c r="C171" s="10"/>
      <c r="D171" s="10"/>
      <c r="E171" s="19"/>
      <c r="F171" s="19"/>
      <c r="G171" s="10"/>
      <c r="H171" s="10"/>
      <c r="I171" s="10" t="str">
        <f aca="false">IF(A171="","",COUNTIF(02_Registro_Requisitos!$O$5:$O$204,A171))</f>
        <v/>
      </c>
      <c r="J171" s="10"/>
      <c r="K171" s="10"/>
      <c r="L171" s="10"/>
      <c r="M171" s="10"/>
    </row>
    <row r="172" customFormat="false" ht="15" hidden="false" customHeight="false" outlineLevel="0" collapsed="false">
      <c r="A172" s="18"/>
      <c r="B172" s="10"/>
      <c r="C172" s="10"/>
      <c r="D172" s="10"/>
      <c r="E172" s="19"/>
      <c r="F172" s="19"/>
      <c r="G172" s="10"/>
      <c r="H172" s="10"/>
      <c r="I172" s="10" t="str">
        <f aca="false">IF(A172="","",COUNTIF(02_Registro_Requisitos!$O$5:$O$204,A172))</f>
        <v/>
      </c>
      <c r="J172" s="10"/>
      <c r="K172" s="10"/>
      <c r="L172" s="10"/>
      <c r="M172" s="10"/>
    </row>
    <row r="173" customFormat="false" ht="15" hidden="false" customHeight="false" outlineLevel="0" collapsed="false">
      <c r="A173" s="18"/>
      <c r="B173" s="10"/>
      <c r="C173" s="10"/>
      <c r="D173" s="10"/>
      <c r="E173" s="19"/>
      <c r="F173" s="19"/>
      <c r="G173" s="10"/>
      <c r="H173" s="10"/>
      <c r="I173" s="10" t="str">
        <f aca="false">IF(A173="","",COUNTIF(02_Registro_Requisitos!$O$5:$O$204,A173))</f>
        <v/>
      </c>
      <c r="J173" s="10"/>
      <c r="K173" s="10"/>
      <c r="L173" s="10"/>
      <c r="M173" s="10"/>
    </row>
    <row r="174" customFormat="false" ht="15" hidden="false" customHeight="false" outlineLevel="0" collapsed="false">
      <c r="A174" s="18"/>
      <c r="B174" s="10"/>
      <c r="C174" s="10"/>
      <c r="D174" s="10"/>
      <c r="E174" s="19"/>
      <c r="F174" s="19"/>
      <c r="G174" s="10"/>
      <c r="H174" s="10"/>
      <c r="I174" s="10" t="str">
        <f aca="false">IF(A174="","",COUNTIF(02_Registro_Requisitos!$O$5:$O$204,A174))</f>
        <v/>
      </c>
      <c r="J174" s="10"/>
      <c r="K174" s="10"/>
      <c r="L174" s="10"/>
      <c r="M174" s="10"/>
    </row>
    <row r="175" customFormat="false" ht="15" hidden="false" customHeight="false" outlineLevel="0" collapsed="false">
      <c r="A175" s="18"/>
      <c r="B175" s="10"/>
      <c r="C175" s="10"/>
      <c r="D175" s="10"/>
      <c r="E175" s="19"/>
      <c r="F175" s="19"/>
      <c r="G175" s="10"/>
      <c r="H175" s="10"/>
      <c r="I175" s="10" t="str">
        <f aca="false">IF(A175="","",COUNTIF(02_Registro_Requisitos!$O$5:$O$204,A175))</f>
        <v/>
      </c>
      <c r="J175" s="10"/>
      <c r="K175" s="10"/>
      <c r="L175" s="10"/>
      <c r="M175" s="10"/>
    </row>
    <row r="176" customFormat="false" ht="15" hidden="false" customHeight="false" outlineLevel="0" collapsed="false">
      <c r="A176" s="18"/>
      <c r="B176" s="10"/>
      <c r="C176" s="10"/>
      <c r="D176" s="10"/>
      <c r="E176" s="19"/>
      <c r="F176" s="19"/>
      <c r="G176" s="10"/>
      <c r="H176" s="10"/>
      <c r="I176" s="10" t="str">
        <f aca="false">IF(A176="","",COUNTIF(02_Registro_Requisitos!$O$5:$O$204,A176))</f>
        <v/>
      </c>
      <c r="J176" s="10"/>
      <c r="K176" s="10"/>
      <c r="L176" s="10"/>
      <c r="M176" s="10"/>
    </row>
    <row r="177" customFormat="false" ht="15" hidden="false" customHeight="false" outlineLevel="0" collapsed="false">
      <c r="A177" s="18"/>
      <c r="B177" s="10"/>
      <c r="C177" s="10"/>
      <c r="D177" s="10"/>
      <c r="E177" s="19"/>
      <c r="F177" s="19"/>
      <c r="G177" s="10"/>
      <c r="H177" s="10"/>
      <c r="I177" s="10" t="str">
        <f aca="false">IF(A177="","",COUNTIF(02_Registro_Requisitos!$O$5:$O$204,A177))</f>
        <v/>
      </c>
      <c r="J177" s="10"/>
      <c r="K177" s="10"/>
      <c r="L177" s="10"/>
      <c r="M177" s="10"/>
    </row>
    <row r="178" customFormat="false" ht="15" hidden="false" customHeight="false" outlineLevel="0" collapsed="false">
      <c r="A178" s="18"/>
      <c r="B178" s="10"/>
      <c r="C178" s="10"/>
      <c r="D178" s="10"/>
      <c r="E178" s="19"/>
      <c r="F178" s="19"/>
      <c r="G178" s="10"/>
      <c r="H178" s="10"/>
      <c r="I178" s="10" t="str">
        <f aca="false">IF(A178="","",COUNTIF(02_Registro_Requisitos!$O$5:$O$204,A178))</f>
        <v/>
      </c>
      <c r="J178" s="10"/>
      <c r="K178" s="10"/>
      <c r="L178" s="10"/>
      <c r="M178" s="10"/>
    </row>
    <row r="179" customFormat="false" ht="15" hidden="false" customHeight="false" outlineLevel="0" collapsed="false">
      <c r="A179" s="18"/>
      <c r="B179" s="10"/>
      <c r="C179" s="10"/>
      <c r="D179" s="10"/>
      <c r="E179" s="19"/>
      <c r="F179" s="19"/>
      <c r="G179" s="10"/>
      <c r="H179" s="10"/>
      <c r="I179" s="10" t="str">
        <f aca="false">IF(A179="","",COUNTIF(02_Registro_Requisitos!$O$5:$O$204,A179))</f>
        <v/>
      </c>
      <c r="J179" s="10"/>
      <c r="K179" s="10"/>
      <c r="L179" s="10"/>
      <c r="M179" s="10"/>
    </row>
    <row r="180" customFormat="false" ht="15" hidden="false" customHeight="false" outlineLevel="0" collapsed="false">
      <c r="A180" s="18"/>
      <c r="B180" s="10"/>
      <c r="C180" s="10"/>
      <c r="D180" s="10"/>
      <c r="E180" s="19"/>
      <c r="F180" s="19"/>
      <c r="G180" s="10"/>
      <c r="H180" s="10"/>
      <c r="I180" s="10" t="str">
        <f aca="false">IF(A180="","",COUNTIF(02_Registro_Requisitos!$O$5:$O$204,A180))</f>
        <v/>
      </c>
      <c r="J180" s="10"/>
      <c r="K180" s="10"/>
      <c r="L180" s="10"/>
      <c r="M180" s="10"/>
    </row>
    <row r="181" customFormat="false" ht="15" hidden="false" customHeight="false" outlineLevel="0" collapsed="false">
      <c r="A181" s="18"/>
      <c r="B181" s="10"/>
      <c r="C181" s="10"/>
      <c r="D181" s="10"/>
      <c r="E181" s="19"/>
      <c r="F181" s="19"/>
      <c r="G181" s="10"/>
      <c r="H181" s="10"/>
      <c r="I181" s="10" t="str">
        <f aca="false">IF(A181="","",COUNTIF(02_Registro_Requisitos!$O$5:$O$204,A181))</f>
        <v/>
      </c>
      <c r="J181" s="10"/>
      <c r="K181" s="10"/>
      <c r="L181" s="10"/>
      <c r="M181" s="10"/>
    </row>
    <row r="182" customFormat="false" ht="15" hidden="false" customHeight="false" outlineLevel="0" collapsed="false">
      <c r="A182" s="18"/>
      <c r="B182" s="10"/>
      <c r="C182" s="10"/>
      <c r="D182" s="10"/>
      <c r="E182" s="19"/>
      <c r="F182" s="19"/>
      <c r="G182" s="10"/>
      <c r="H182" s="10"/>
      <c r="I182" s="10" t="str">
        <f aca="false">IF(A182="","",COUNTIF(02_Registro_Requisitos!$O$5:$O$204,A182))</f>
        <v/>
      </c>
      <c r="J182" s="10"/>
      <c r="K182" s="10"/>
      <c r="L182" s="10"/>
      <c r="M182" s="10"/>
    </row>
    <row r="183" customFormat="false" ht="15" hidden="false" customHeight="false" outlineLevel="0" collapsed="false">
      <c r="A183" s="18"/>
      <c r="B183" s="10"/>
      <c r="C183" s="10"/>
      <c r="D183" s="10"/>
      <c r="E183" s="19"/>
      <c r="F183" s="19"/>
      <c r="G183" s="10"/>
      <c r="H183" s="10"/>
      <c r="I183" s="10" t="str">
        <f aca="false">IF(A183="","",COUNTIF(02_Registro_Requisitos!$O$5:$O$204,A183))</f>
        <v/>
      </c>
      <c r="J183" s="10"/>
      <c r="K183" s="10"/>
      <c r="L183" s="10"/>
      <c r="M183" s="10"/>
    </row>
    <row r="184" customFormat="false" ht="15" hidden="false" customHeight="false" outlineLevel="0" collapsed="false">
      <c r="A184" s="18"/>
      <c r="B184" s="10"/>
      <c r="C184" s="10"/>
      <c r="D184" s="10"/>
      <c r="E184" s="19"/>
      <c r="F184" s="19"/>
      <c r="G184" s="10"/>
      <c r="H184" s="10"/>
      <c r="I184" s="10" t="str">
        <f aca="false">IF(A184="","",COUNTIF(02_Registro_Requisitos!$O$5:$O$204,A184))</f>
        <v/>
      </c>
      <c r="J184" s="10"/>
      <c r="K184" s="10"/>
      <c r="L184" s="10"/>
      <c r="M184" s="10"/>
    </row>
    <row r="185" customFormat="false" ht="15" hidden="false" customHeight="false" outlineLevel="0" collapsed="false">
      <c r="A185" s="18"/>
      <c r="B185" s="10"/>
      <c r="C185" s="10"/>
      <c r="D185" s="10"/>
      <c r="E185" s="19"/>
      <c r="F185" s="19"/>
      <c r="G185" s="10"/>
      <c r="H185" s="10"/>
      <c r="I185" s="10" t="str">
        <f aca="false">IF(A185="","",COUNTIF(02_Registro_Requisitos!$O$5:$O$204,A185))</f>
        <v/>
      </c>
      <c r="J185" s="10"/>
      <c r="K185" s="10"/>
      <c r="L185" s="10"/>
      <c r="M185" s="10"/>
    </row>
    <row r="186" customFormat="false" ht="15" hidden="false" customHeight="false" outlineLevel="0" collapsed="false">
      <c r="A186" s="18"/>
      <c r="B186" s="10"/>
      <c r="C186" s="10"/>
      <c r="D186" s="10"/>
      <c r="E186" s="19"/>
      <c r="F186" s="19"/>
      <c r="G186" s="10"/>
      <c r="H186" s="10"/>
      <c r="I186" s="10" t="str">
        <f aca="false">IF(A186="","",COUNTIF(02_Registro_Requisitos!$O$5:$O$204,A186))</f>
        <v/>
      </c>
      <c r="J186" s="10"/>
      <c r="K186" s="10"/>
      <c r="L186" s="10"/>
      <c r="M186" s="10"/>
    </row>
    <row r="187" customFormat="false" ht="15" hidden="false" customHeight="false" outlineLevel="0" collapsed="false">
      <c r="A187" s="18"/>
      <c r="B187" s="10"/>
      <c r="C187" s="10"/>
      <c r="D187" s="10"/>
      <c r="E187" s="19"/>
      <c r="F187" s="19"/>
      <c r="G187" s="10"/>
      <c r="H187" s="10"/>
      <c r="I187" s="10" t="str">
        <f aca="false">IF(A187="","",COUNTIF(02_Registro_Requisitos!$O$5:$O$204,A187))</f>
        <v/>
      </c>
      <c r="J187" s="10"/>
      <c r="K187" s="10"/>
      <c r="L187" s="10"/>
      <c r="M187" s="10"/>
    </row>
    <row r="188" customFormat="false" ht="15" hidden="false" customHeight="false" outlineLevel="0" collapsed="false">
      <c r="A188" s="18"/>
      <c r="B188" s="10"/>
      <c r="C188" s="10"/>
      <c r="D188" s="10"/>
      <c r="E188" s="19"/>
      <c r="F188" s="19"/>
      <c r="G188" s="10"/>
      <c r="H188" s="10"/>
      <c r="I188" s="10" t="str">
        <f aca="false">IF(A188="","",COUNTIF(02_Registro_Requisitos!$O$5:$O$204,A188))</f>
        <v/>
      </c>
      <c r="J188" s="10"/>
      <c r="K188" s="10"/>
      <c r="L188" s="10"/>
      <c r="M188" s="10"/>
    </row>
    <row r="189" customFormat="false" ht="15" hidden="false" customHeight="false" outlineLevel="0" collapsed="false">
      <c r="A189" s="18"/>
      <c r="B189" s="10"/>
      <c r="C189" s="10"/>
      <c r="D189" s="10"/>
      <c r="E189" s="19"/>
      <c r="F189" s="19"/>
      <c r="G189" s="10"/>
      <c r="H189" s="10"/>
      <c r="I189" s="10" t="str">
        <f aca="false">IF(A189="","",COUNTIF(02_Registro_Requisitos!$O$5:$O$204,A189))</f>
        <v/>
      </c>
      <c r="J189" s="10"/>
      <c r="K189" s="10"/>
      <c r="L189" s="10"/>
      <c r="M189" s="10"/>
    </row>
    <row r="190" customFormat="false" ht="15" hidden="false" customHeight="false" outlineLevel="0" collapsed="false">
      <c r="A190" s="18"/>
      <c r="B190" s="10"/>
      <c r="C190" s="10"/>
      <c r="D190" s="10"/>
      <c r="E190" s="19"/>
      <c r="F190" s="19"/>
      <c r="G190" s="10"/>
      <c r="H190" s="10"/>
      <c r="I190" s="10" t="str">
        <f aca="false">IF(A190="","",COUNTIF(02_Registro_Requisitos!$O$5:$O$204,A190))</f>
        <v/>
      </c>
      <c r="J190" s="10"/>
      <c r="K190" s="10"/>
      <c r="L190" s="10"/>
      <c r="M190" s="10"/>
    </row>
    <row r="191" customFormat="false" ht="15" hidden="false" customHeight="false" outlineLevel="0" collapsed="false">
      <c r="A191" s="18"/>
      <c r="B191" s="10"/>
      <c r="C191" s="10"/>
      <c r="D191" s="10"/>
      <c r="E191" s="19"/>
      <c r="F191" s="19"/>
      <c r="G191" s="10"/>
      <c r="H191" s="10"/>
      <c r="I191" s="10" t="str">
        <f aca="false">IF(A191="","",COUNTIF(02_Registro_Requisitos!$O$5:$O$204,A191))</f>
        <v/>
      </c>
      <c r="J191" s="10"/>
      <c r="K191" s="10"/>
      <c r="L191" s="10"/>
      <c r="M191" s="10"/>
    </row>
    <row r="192" customFormat="false" ht="15" hidden="false" customHeight="false" outlineLevel="0" collapsed="false">
      <c r="A192" s="18"/>
      <c r="B192" s="10"/>
      <c r="C192" s="10"/>
      <c r="D192" s="10"/>
      <c r="E192" s="19"/>
      <c r="F192" s="19"/>
      <c r="G192" s="10"/>
      <c r="H192" s="10"/>
      <c r="I192" s="10" t="str">
        <f aca="false">IF(A192="","",COUNTIF(02_Registro_Requisitos!$O$5:$O$204,A192))</f>
        <v/>
      </c>
      <c r="J192" s="10"/>
      <c r="K192" s="10"/>
      <c r="L192" s="10"/>
      <c r="M192" s="10"/>
    </row>
    <row r="193" customFormat="false" ht="15" hidden="false" customHeight="false" outlineLevel="0" collapsed="false">
      <c r="A193" s="18"/>
      <c r="B193" s="10"/>
      <c r="C193" s="10"/>
      <c r="D193" s="10"/>
      <c r="E193" s="19"/>
      <c r="F193" s="19"/>
      <c r="G193" s="10"/>
      <c r="H193" s="10"/>
      <c r="I193" s="10" t="str">
        <f aca="false">IF(A193="","",COUNTIF(02_Registro_Requisitos!$O$5:$O$204,A193))</f>
        <v/>
      </c>
      <c r="J193" s="10"/>
      <c r="K193" s="10"/>
      <c r="L193" s="10"/>
      <c r="M193" s="10"/>
    </row>
    <row r="194" customFormat="false" ht="15" hidden="false" customHeight="false" outlineLevel="0" collapsed="false">
      <c r="A194" s="18"/>
      <c r="B194" s="10"/>
      <c r="C194" s="10"/>
      <c r="D194" s="10"/>
      <c r="E194" s="19"/>
      <c r="F194" s="19"/>
      <c r="G194" s="10"/>
      <c r="H194" s="10"/>
      <c r="I194" s="10" t="str">
        <f aca="false">IF(A194="","",COUNTIF(02_Registro_Requisitos!$O$5:$O$204,A194))</f>
        <v/>
      </c>
      <c r="J194" s="10"/>
      <c r="K194" s="10"/>
      <c r="L194" s="10"/>
      <c r="M194" s="10"/>
    </row>
    <row r="195" customFormat="false" ht="15" hidden="false" customHeight="false" outlineLevel="0" collapsed="false">
      <c r="A195" s="18"/>
      <c r="B195" s="10"/>
      <c r="C195" s="10"/>
      <c r="D195" s="10"/>
      <c r="E195" s="19"/>
      <c r="F195" s="19"/>
      <c r="G195" s="10"/>
      <c r="H195" s="10"/>
      <c r="I195" s="10" t="str">
        <f aca="false">IF(A195="","",COUNTIF(02_Registro_Requisitos!$O$5:$O$204,A195))</f>
        <v/>
      </c>
      <c r="J195" s="10"/>
      <c r="K195" s="10"/>
      <c r="L195" s="10"/>
      <c r="M195" s="10"/>
    </row>
    <row r="196" customFormat="false" ht="15" hidden="false" customHeight="false" outlineLevel="0" collapsed="false">
      <c r="A196" s="18"/>
      <c r="B196" s="10"/>
      <c r="C196" s="10"/>
      <c r="D196" s="10"/>
      <c r="E196" s="19"/>
      <c r="F196" s="19"/>
      <c r="G196" s="10"/>
      <c r="H196" s="10"/>
      <c r="I196" s="10" t="str">
        <f aca="false">IF(A196="","",COUNTIF(02_Registro_Requisitos!$O$5:$O$204,A196))</f>
        <v/>
      </c>
      <c r="J196" s="10"/>
      <c r="K196" s="10"/>
      <c r="L196" s="10"/>
      <c r="M196" s="10"/>
    </row>
    <row r="197" customFormat="false" ht="15" hidden="false" customHeight="false" outlineLevel="0" collapsed="false">
      <c r="A197" s="18"/>
      <c r="B197" s="10"/>
      <c r="C197" s="10"/>
      <c r="D197" s="10"/>
      <c r="E197" s="19"/>
      <c r="F197" s="19"/>
      <c r="G197" s="10"/>
      <c r="H197" s="10"/>
      <c r="I197" s="10" t="str">
        <f aca="false">IF(A197="","",COUNTIF(02_Registro_Requisitos!$O$5:$O$204,A197))</f>
        <v/>
      </c>
      <c r="J197" s="10"/>
      <c r="K197" s="10"/>
      <c r="L197" s="10"/>
      <c r="M197" s="10"/>
    </row>
    <row r="198" customFormat="false" ht="15" hidden="false" customHeight="false" outlineLevel="0" collapsed="false">
      <c r="A198" s="18"/>
      <c r="B198" s="10"/>
      <c r="C198" s="10"/>
      <c r="D198" s="10"/>
      <c r="E198" s="19"/>
      <c r="F198" s="19"/>
      <c r="G198" s="10"/>
      <c r="H198" s="10"/>
      <c r="I198" s="10" t="str">
        <f aca="false">IF(A198="","",COUNTIF(02_Registro_Requisitos!$O$5:$O$204,A198))</f>
        <v/>
      </c>
      <c r="J198" s="10"/>
      <c r="K198" s="10"/>
      <c r="L198" s="10"/>
      <c r="M198" s="10"/>
    </row>
    <row r="199" customFormat="false" ht="15" hidden="false" customHeight="false" outlineLevel="0" collapsed="false">
      <c r="A199" s="18"/>
      <c r="B199" s="10"/>
      <c r="C199" s="10"/>
      <c r="D199" s="10"/>
      <c r="E199" s="19"/>
      <c r="F199" s="19"/>
      <c r="G199" s="10"/>
      <c r="H199" s="10"/>
      <c r="I199" s="10" t="str">
        <f aca="false">IF(A199="","",COUNTIF(02_Registro_Requisitos!$O$5:$O$204,A199))</f>
        <v/>
      </c>
      <c r="J199" s="10"/>
      <c r="K199" s="10"/>
      <c r="L199" s="10"/>
      <c r="M199" s="10"/>
    </row>
    <row r="200" customFormat="false" ht="15" hidden="false" customHeight="false" outlineLevel="0" collapsed="false">
      <c r="A200" s="18"/>
      <c r="B200" s="10"/>
      <c r="C200" s="10"/>
      <c r="D200" s="10"/>
      <c r="E200" s="19"/>
      <c r="F200" s="19"/>
      <c r="G200" s="10"/>
      <c r="H200" s="10"/>
      <c r="I200" s="10" t="str">
        <f aca="false">IF(A200="","",COUNTIF(02_Registro_Requisitos!$O$5:$O$204,A200))</f>
        <v/>
      </c>
      <c r="J200" s="10"/>
      <c r="K200" s="10"/>
      <c r="L200" s="10"/>
      <c r="M200" s="10"/>
    </row>
    <row r="201" customFormat="false" ht="15" hidden="false" customHeight="false" outlineLevel="0" collapsed="false">
      <c r="A201" s="18"/>
      <c r="B201" s="10"/>
      <c r="C201" s="10"/>
      <c r="D201" s="10"/>
      <c r="E201" s="19"/>
      <c r="F201" s="19"/>
      <c r="G201" s="10"/>
      <c r="H201" s="10"/>
      <c r="I201" s="10" t="str">
        <f aca="false">IF(A201="","",COUNTIF(02_Registro_Requisitos!$O$5:$O$204,A201))</f>
        <v/>
      </c>
      <c r="J201" s="10"/>
      <c r="K201" s="10"/>
      <c r="L201" s="10"/>
      <c r="M201" s="10"/>
    </row>
    <row r="202" customFormat="false" ht="15" hidden="false" customHeight="false" outlineLevel="0" collapsed="false">
      <c r="A202" s="18"/>
      <c r="B202" s="10"/>
      <c r="C202" s="10"/>
      <c r="D202" s="10"/>
      <c r="E202" s="19"/>
      <c r="F202" s="19"/>
      <c r="G202" s="10"/>
      <c r="H202" s="10"/>
      <c r="I202" s="10" t="str">
        <f aca="false">IF(A202="","",COUNTIF(02_Registro_Requisitos!$O$5:$O$204,A202))</f>
        <v/>
      </c>
      <c r="J202" s="10"/>
      <c r="K202" s="10"/>
      <c r="L202" s="10"/>
      <c r="M202" s="10"/>
    </row>
    <row r="203" customFormat="false" ht="15" hidden="false" customHeight="false" outlineLevel="0" collapsed="false">
      <c r="A203" s="18"/>
      <c r="B203" s="10"/>
      <c r="C203" s="10"/>
      <c r="D203" s="10"/>
      <c r="E203" s="19"/>
      <c r="F203" s="19"/>
      <c r="G203" s="10"/>
      <c r="H203" s="10"/>
      <c r="I203" s="10" t="str">
        <f aca="false">IF(A203="","",COUNTIF(02_Registro_Requisitos!$O$5:$O$204,A203))</f>
        <v/>
      </c>
      <c r="J203" s="10"/>
      <c r="K203" s="10"/>
      <c r="L203" s="10"/>
      <c r="M203" s="10"/>
    </row>
    <row r="204" customFormat="false" ht="15" hidden="false" customHeight="false" outlineLevel="0" collapsed="false">
      <c r="A204" s="18"/>
      <c r="B204" s="10"/>
      <c r="C204" s="10"/>
      <c r="D204" s="10"/>
      <c r="E204" s="19"/>
      <c r="F204" s="19"/>
      <c r="G204" s="10"/>
      <c r="H204" s="10"/>
      <c r="I204" s="10" t="str">
        <f aca="false">IF(A204="","",COUNTIF(02_Registro_Requisitos!$O$5:$O$204,A204))</f>
        <v/>
      </c>
      <c r="J204" s="10"/>
      <c r="K204" s="10"/>
      <c r="L204" s="10"/>
      <c r="M204" s="10"/>
    </row>
  </sheetData>
  <mergeCells count="2">
    <mergeCell ref="A1:M1"/>
    <mergeCell ref="A2:M2"/>
  </mergeCells>
  <conditionalFormatting sqref="G5:G204">
    <cfRule type="expression" priority="2" aboveAverage="0" equalAverage="0" bottom="0" percent="0" rank="0" text="" dxfId="7">
      <formula>G5="Aprobada"</formula>
    </cfRule>
    <cfRule type="expression" priority="3" aboveAverage="0" equalAverage="0" bottom="0" percent="0" rank="0" text="" dxfId="17">
      <formula>G5="Sustituida"</formula>
    </cfRule>
  </conditionalFormatting>
  <dataValidations count="2">
    <dataValidation allowBlank="false" errorStyle="stop" operator="between" showDropDown="false" showErrorMessage="false" showInputMessage="false" sqref="G5:G204" type="list">
      <formula1>"Propuesta,En revisión,Aprobada,Sustituida,Retirada"</formula1>
      <formula2>0</formula2>
    </dataValidation>
    <dataValidation allowBlank="false" errorStyle="stop" operator="between" showDropDown="false" showErrorMessage="false" showInputMessage="false" sqref="J5:J204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44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1" min="10" style="1" width="20"/>
    <col collapsed="false" customWidth="true" hidden="false" outlineLevel="0" max="12" min="12" style="1" width="18"/>
    <col collapsed="false" customWidth="true" hidden="false" outlineLevel="0" max="13" min="13" style="1" width="24"/>
    <col collapsed="false" customWidth="true" hidden="false" outlineLevel="0" max="14" min="14" style="1" width="15"/>
    <col collapsed="false" customWidth="true" hidden="false" outlineLevel="0" max="15" min="15" style="1" width="24"/>
    <col collapsed="false" customWidth="true" hidden="false" outlineLevel="0" max="16" min="16" style="1" width="18"/>
    <col collapsed="false" customWidth="true" hidden="false" outlineLevel="0" max="17" min="17" style="1" width="20"/>
    <col collapsed="false" customWidth="true" hidden="false" outlineLevel="0" max="18" min="18" style="1" width="15"/>
    <col collapsed="false" customWidth="true" hidden="false" outlineLevel="0" max="19" min="19" style="1" width="34"/>
  </cols>
  <sheetData>
    <row r="1" customFormat="false" ht="30" hidden="false" customHeight="true" outlineLevel="0" collapsed="false">
      <c r="A1" s="2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3.75" hidden="false" customHeight="true" outlineLevel="0" collapsed="false">
      <c r="A2" s="3" t="s">
        <v>359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42" hidden="false" customHeight="true" outlineLevel="0" collapsed="false">
      <c r="A4" s="14" t="s">
        <v>360</v>
      </c>
      <c r="B4" s="9" t="s">
        <v>361</v>
      </c>
      <c r="C4" s="9" t="s">
        <v>362</v>
      </c>
      <c r="D4" s="9" t="s">
        <v>363</v>
      </c>
      <c r="E4" s="9" t="s">
        <v>364</v>
      </c>
      <c r="F4" s="9" t="s">
        <v>365</v>
      </c>
      <c r="G4" s="9" t="s">
        <v>366</v>
      </c>
      <c r="H4" s="9" t="s">
        <v>168</v>
      </c>
      <c r="I4" s="9" t="s">
        <v>367</v>
      </c>
      <c r="J4" s="9" t="s">
        <v>74</v>
      </c>
      <c r="K4" s="9" t="s">
        <v>127</v>
      </c>
      <c r="L4" s="9" t="s">
        <v>368</v>
      </c>
      <c r="M4" s="9" t="s">
        <v>369</v>
      </c>
      <c r="N4" s="9" t="s">
        <v>370</v>
      </c>
      <c r="O4" s="9" t="s">
        <v>371</v>
      </c>
      <c r="P4" s="9" t="s">
        <v>372</v>
      </c>
      <c r="Q4" s="9" t="s">
        <v>373</v>
      </c>
      <c r="R4" s="9" t="s">
        <v>374</v>
      </c>
      <c r="S4" s="9" t="s">
        <v>375</v>
      </c>
    </row>
    <row r="5" customFormat="false" ht="28.35" hidden="false" customHeight="false" outlineLevel="0" collapsed="false">
      <c r="A5" s="15" t="s">
        <v>376</v>
      </c>
      <c r="B5" s="17" t="n">
        <v>46224</v>
      </c>
      <c r="C5" s="16" t="s">
        <v>377</v>
      </c>
      <c r="D5" s="16" t="s">
        <v>378</v>
      </c>
      <c r="E5" s="16" t="s">
        <v>289</v>
      </c>
      <c r="F5" s="16" t="s">
        <v>379</v>
      </c>
      <c r="G5" s="16" t="s">
        <v>380</v>
      </c>
      <c r="H5" s="16" t="s">
        <v>251</v>
      </c>
      <c r="I5" s="16" t="s">
        <v>327</v>
      </c>
      <c r="J5" s="16" t="s">
        <v>381</v>
      </c>
      <c r="K5" s="16" t="s">
        <v>382</v>
      </c>
      <c r="L5" s="17" t="n">
        <v>46227</v>
      </c>
      <c r="M5" s="16"/>
      <c r="N5" s="17"/>
      <c r="O5" s="16"/>
      <c r="P5" s="16" t="s">
        <v>383</v>
      </c>
      <c r="Q5" s="16" t="s">
        <v>384</v>
      </c>
      <c r="R5" s="17"/>
      <c r="S5" s="16" t="s">
        <v>385</v>
      </c>
    </row>
    <row r="6" customFormat="false" ht="15" hidden="false" customHeight="false" outlineLevel="0" collapsed="false">
      <c r="A6" s="18"/>
      <c r="B6" s="19"/>
      <c r="C6" s="10"/>
      <c r="D6" s="10"/>
      <c r="E6" s="10"/>
      <c r="F6" s="10"/>
      <c r="G6" s="10"/>
      <c r="H6" s="10"/>
      <c r="I6" s="10"/>
      <c r="J6" s="10"/>
      <c r="K6" s="10"/>
      <c r="L6" s="19"/>
      <c r="M6" s="10"/>
      <c r="N6" s="19"/>
      <c r="O6" s="10"/>
      <c r="P6" s="10"/>
      <c r="Q6" s="10"/>
      <c r="R6" s="19"/>
      <c r="S6" s="10"/>
    </row>
    <row r="7" customFormat="false" ht="15" hidden="false" customHeight="false" outlineLevel="0" collapsed="false">
      <c r="A7" s="18"/>
      <c r="B7" s="19"/>
      <c r="C7" s="10"/>
      <c r="D7" s="10"/>
      <c r="E7" s="10"/>
      <c r="F7" s="10"/>
      <c r="G7" s="10"/>
      <c r="H7" s="10"/>
      <c r="I7" s="10"/>
      <c r="J7" s="10"/>
      <c r="K7" s="10"/>
      <c r="L7" s="19"/>
      <c r="M7" s="10"/>
      <c r="N7" s="19"/>
      <c r="O7" s="10"/>
      <c r="P7" s="10"/>
      <c r="Q7" s="10"/>
      <c r="R7" s="19"/>
      <c r="S7" s="10"/>
    </row>
    <row r="8" customFormat="false" ht="15" hidden="false" customHeight="false" outlineLevel="0" collapsed="false">
      <c r="A8" s="18"/>
      <c r="B8" s="19"/>
      <c r="C8" s="10"/>
      <c r="D8" s="10"/>
      <c r="E8" s="10"/>
      <c r="F8" s="10"/>
      <c r="G8" s="10"/>
      <c r="H8" s="10"/>
      <c r="I8" s="10"/>
      <c r="J8" s="10"/>
      <c r="K8" s="10"/>
      <c r="L8" s="19"/>
      <c r="M8" s="10"/>
      <c r="N8" s="19"/>
      <c r="O8" s="10"/>
      <c r="P8" s="10"/>
      <c r="Q8" s="10"/>
      <c r="R8" s="19"/>
      <c r="S8" s="10"/>
    </row>
    <row r="9" customFormat="false" ht="15" hidden="false" customHeight="false" outlineLevel="0" collapsed="false">
      <c r="A9" s="18"/>
      <c r="B9" s="19"/>
      <c r="C9" s="10"/>
      <c r="D9" s="10"/>
      <c r="E9" s="10"/>
      <c r="F9" s="10"/>
      <c r="G9" s="10"/>
      <c r="H9" s="10"/>
      <c r="I9" s="10"/>
      <c r="J9" s="10"/>
      <c r="K9" s="10"/>
      <c r="L9" s="19"/>
      <c r="M9" s="10"/>
      <c r="N9" s="19"/>
      <c r="O9" s="10"/>
      <c r="P9" s="10"/>
      <c r="Q9" s="10"/>
      <c r="R9" s="19"/>
      <c r="S9" s="10"/>
    </row>
    <row r="10" customFormat="false" ht="15" hidden="false" customHeight="false" outlineLevel="0" collapsed="false">
      <c r="A10" s="18"/>
      <c r="B10" s="19"/>
      <c r="C10" s="10"/>
      <c r="D10" s="10"/>
      <c r="E10" s="10"/>
      <c r="F10" s="10"/>
      <c r="G10" s="10"/>
      <c r="H10" s="10"/>
      <c r="I10" s="10"/>
      <c r="J10" s="10"/>
      <c r="K10" s="10"/>
      <c r="L10" s="19"/>
      <c r="M10" s="10"/>
      <c r="N10" s="19"/>
      <c r="O10" s="10"/>
      <c r="P10" s="10"/>
      <c r="Q10" s="10"/>
      <c r="R10" s="19"/>
      <c r="S10" s="10"/>
    </row>
    <row r="11" customFormat="false" ht="15" hidden="false" customHeight="false" outlineLevel="0" collapsed="false">
      <c r="A11" s="18"/>
      <c r="B11" s="19"/>
      <c r="C11" s="10"/>
      <c r="D11" s="10"/>
      <c r="E11" s="10"/>
      <c r="F11" s="10"/>
      <c r="G11" s="10"/>
      <c r="H11" s="10"/>
      <c r="I11" s="10"/>
      <c r="J11" s="10"/>
      <c r="K11" s="10"/>
      <c r="L11" s="19"/>
      <c r="M11" s="10"/>
      <c r="N11" s="19"/>
      <c r="O11" s="10"/>
      <c r="P11" s="10"/>
      <c r="Q11" s="10"/>
      <c r="R11" s="19"/>
      <c r="S11" s="10"/>
    </row>
    <row r="12" customFormat="false" ht="15" hidden="false" customHeight="false" outlineLevel="0" collapsed="false">
      <c r="A12" s="18"/>
      <c r="B12" s="19"/>
      <c r="C12" s="10"/>
      <c r="D12" s="10"/>
      <c r="E12" s="10"/>
      <c r="F12" s="10"/>
      <c r="G12" s="10"/>
      <c r="H12" s="10"/>
      <c r="I12" s="10"/>
      <c r="J12" s="10"/>
      <c r="K12" s="10"/>
      <c r="L12" s="19"/>
      <c r="M12" s="10"/>
      <c r="N12" s="19"/>
      <c r="O12" s="10"/>
      <c r="P12" s="10"/>
      <c r="Q12" s="10"/>
      <c r="R12" s="19"/>
      <c r="S12" s="10"/>
    </row>
    <row r="13" customFormat="false" ht="15" hidden="false" customHeight="false" outlineLevel="0" collapsed="false">
      <c r="A13" s="18"/>
      <c r="B13" s="19"/>
      <c r="C13" s="10"/>
      <c r="D13" s="10"/>
      <c r="E13" s="10"/>
      <c r="F13" s="10"/>
      <c r="G13" s="10"/>
      <c r="H13" s="10"/>
      <c r="I13" s="10"/>
      <c r="J13" s="10"/>
      <c r="K13" s="10"/>
      <c r="L13" s="19"/>
      <c r="M13" s="10"/>
      <c r="N13" s="19"/>
      <c r="O13" s="10"/>
      <c r="P13" s="10"/>
      <c r="Q13" s="10"/>
      <c r="R13" s="19"/>
      <c r="S13" s="10"/>
    </row>
    <row r="14" customFormat="false" ht="15" hidden="false" customHeight="false" outlineLevel="0" collapsed="false">
      <c r="A14" s="18"/>
      <c r="B14" s="19"/>
      <c r="C14" s="10"/>
      <c r="D14" s="10"/>
      <c r="E14" s="10"/>
      <c r="F14" s="10"/>
      <c r="G14" s="10"/>
      <c r="H14" s="10"/>
      <c r="I14" s="10"/>
      <c r="J14" s="10"/>
      <c r="K14" s="10"/>
      <c r="L14" s="19"/>
      <c r="M14" s="10"/>
      <c r="N14" s="19"/>
      <c r="O14" s="10"/>
      <c r="P14" s="10"/>
      <c r="Q14" s="10"/>
      <c r="R14" s="19"/>
      <c r="S14" s="10"/>
    </row>
    <row r="15" customFormat="false" ht="15" hidden="false" customHeight="false" outlineLevel="0" collapsed="false">
      <c r="A15" s="18"/>
      <c r="B15" s="19"/>
      <c r="C15" s="10"/>
      <c r="D15" s="10"/>
      <c r="E15" s="10"/>
      <c r="F15" s="10"/>
      <c r="G15" s="10"/>
      <c r="H15" s="10"/>
      <c r="I15" s="10"/>
      <c r="J15" s="10"/>
      <c r="K15" s="10"/>
      <c r="L15" s="19"/>
      <c r="M15" s="10"/>
      <c r="N15" s="19"/>
      <c r="O15" s="10"/>
      <c r="P15" s="10"/>
      <c r="Q15" s="10"/>
      <c r="R15" s="19"/>
      <c r="S15" s="10"/>
    </row>
    <row r="16" customFormat="false" ht="15" hidden="false" customHeight="false" outlineLevel="0" collapsed="false">
      <c r="A16" s="18"/>
      <c r="B16" s="19"/>
      <c r="C16" s="10"/>
      <c r="D16" s="10"/>
      <c r="E16" s="10"/>
      <c r="F16" s="10"/>
      <c r="G16" s="10"/>
      <c r="H16" s="10"/>
      <c r="I16" s="10"/>
      <c r="J16" s="10"/>
      <c r="K16" s="10"/>
      <c r="L16" s="19"/>
      <c r="M16" s="10"/>
      <c r="N16" s="19"/>
      <c r="O16" s="10"/>
      <c r="P16" s="10"/>
      <c r="Q16" s="10"/>
      <c r="R16" s="19"/>
      <c r="S16" s="10"/>
    </row>
    <row r="17" customFormat="false" ht="15" hidden="false" customHeight="false" outlineLevel="0" collapsed="false">
      <c r="A17" s="18"/>
      <c r="B17" s="19"/>
      <c r="C17" s="10"/>
      <c r="D17" s="10"/>
      <c r="E17" s="10"/>
      <c r="F17" s="10"/>
      <c r="G17" s="10"/>
      <c r="H17" s="10"/>
      <c r="I17" s="10"/>
      <c r="J17" s="10"/>
      <c r="K17" s="10"/>
      <c r="L17" s="19"/>
      <c r="M17" s="10"/>
      <c r="N17" s="19"/>
      <c r="O17" s="10"/>
      <c r="P17" s="10"/>
      <c r="Q17" s="10"/>
      <c r="R17" s="19"/>
      <c r="S17" s="10"/>
    </row>
    <row r="18" customFormat="false" ht="15" hidden="false" customHeight="false" outlineLevel="0" collapsed="false">
      <c r="A18" s="18"/>
      <c r="B18" s="19"/>
      <c r="C18" s="10"/>
      <c r="D18" s="10"/>
      <c r="E18" s="10"/>
      <c r="F18" s="10"/>
      <c r="G18" s="10"/>
      <c r="H18" s="10"/>
      <c r="I18" s="10"/>
      <c r="J18" s="10"/>
      <c r="K18" s="10"/>
      <c r="L18" s="19"/>
      <c r="M18" s="10"/>
      <c r="N18" s="19"/>
      <c r="O18" s="10"/>
      <c r="P18" s="10"/>
      <c r="Q18" s="10"/>
      <c r="R18" s="19"/>
      <c r="S18" s="10"/>
    </row>
    <row r="19" customFormat="false" ht="15" hidden="false" customHeight="false" outlineLevel="0" collapsed="false">
      <c r="A19" s="18"/>
      <c r="B19" s="19"/>
      <c r="C19" s="10"/>
      <c r="D19" s="10"/>
      <c r="E19" s="10"/>
      <c r="F19" s="10"/>
      <c r="G19" s="10"/>
      <c r="H19" s="10"/>
      <c r="I19" s="10"/>
      <c r="J19" s="10"/>
      <c r="K19" s="10"/>
      <c r="L19" s="19"/>
      <c r="M19" s="10"/>
      <c r="N19" s="19"/>
      <c r="O19" s="10"/>
      <c r="P19" s="10"/>
      <c r="Q19" s="10"/>
      <c r="R19" s="19"/>
      <c r="S19" s="10"/>
    </row>
    <row r="20" customFormat="false" ht="15" hidden="false" customHeight="false" outlineLevel="0" collapsed="false">
      <c r="A20" s="18"/>
      <c r="B20" s="19"/>
      <c r="C20" s="10"/>
      <c r="D20" s="10"/>
      <c r="E20" s="10"/>
      <c r="F20" s="10"/>
      <c r="G20" s="10"/>
      <c r="H20" s="10"/>
      <c r="I20" s="10"/>
      <c r="J20" s="10"/>
      <c r="K20" s="10"/>
      <c r="L20" s="19"/>
      <c r="M20" s="10"/>
      <c r="N20" s="19"/>
      <c r="O20" s="10"/>
      <c r="P20" s="10"/>
      <c r="Q20" s="10"/>
      <c r="R20" s="19"/>
      <c r="S20" s="10"/>
    </row>
    <row r="21" customFormat="false" ht="15" hidden="false" customHeight="false" outlineLevel="0" collapsed="false">
      <c r="A21" s="18"/>
      <c r="B21" s="19"/>
      <c r="C21" s="10"/>
      <c r="D21" s="10"/>
      <c r="E21" s="10"/>
      <c r="F21" s="10"/>
      <c r="G21" s="10"/>
      <c r="H21" s="10"/>
      <c r="I21" s="10"/>
      <c r="J21" s="10"/>
      <c r="K21" s="10"/>
      <c r="L21" s="19"/>
      <c r="M21" s="10"/>
      <c r="N21" s="19"/>
      <c r="O21" s="10"/>
      <c r="P21" s="10"/>
      <c r="Q21" s="10"/>
      <c r="R21" s="19"/>
      <c r="S21" s="10"/>
    </row>
    <row r="22" customFormat="false" ht="15" hidden="false" customHeight="false" outlineLevel="0" collapsed="false">
      <c r="A22" s="18"/>
      <c r="B22" s="19"/>
      <c r="C22" s="10"/>
      <c r="D22" s="10"/>
      <c r="E22" s="10"/>
      <c r="F22" s="10"/>
      <c r="G22" s="10"/>
      <c r="H22" s="10"/>
      <c r="I22" s="10"/>
      <c r="J22" s="10"/>
      <c r="K22" s="10"/>
      <c r="L22" s="19"/>
      <c r="M22" s="10"/>
      <c r="N22" s="19"/>
      <c r="O22" s="10"/>
      <c r="P22" s="10"/>
      <c r="Q22" s="10"/>
      <c r="R22" s="19"/>
      <c r="S22" s="10"/>
    </row>
    <row r="23" customFormat="false" ht="15" hidden="false" customHeight="false" outlineLevel="0" collapsed="false">
      <c r="A23" s="18"/>
      <c r="B23" s="19"/>
      <c r="C23" s="10"/>
      <c r="D23" s="10"/>
      <c r="E23" s="10"/>
      <c r="F23" s="10"/>
      <c r="G23" s="10"/>
      <c r="H23" s="10"/>
      <c r="I23" s="10"/>
      <c r="J23" s="10"/>
      <c r="K23" s="10"/>
      <c r="L23" s="19"/>
      <c r="M23" s="10"/>
      <c r="N23" s="19"/>
      <c r="O23" s="10"/>
      <c r="P23" s="10"/>
      <c r="Q23" s="10"/>
      <c r="R23" s="19"/>
      <c r="S23" s="10"/>
    </row>
    <row r="24" customFormat="false" ht="15" hidden="false" customHeight="false" outlineLevel="0" collapsed="false">
      <c r="A24" s="18"/>
      <c r="B24" s="19"/>
      <c r="C24" s="10"/>
      <c r="D24" s="10"/>
      <c r="E24" s="10"/>
      <c r="F24" s="10"/>
      <c r="G24" s="10"/>
      <c r="H24" s="10"/>
      <c r="I24" s="10"/>
      <c r="J24" s="10"/>
      <c r="K24" s="10"/>
      <c r="L24" s="19"/>
      <c r="M24" s="10"/>
      <c r="N24" s="19"/>
      <c r="O24" s="10"/>
      <c r="P24" s="10"/>
      <c r="Q24" s="10"/>
      <c r="R24" s="19"/>
      <c r="S24" s="10"/>
    </row>
    <row r="25" customFormat="false" ht="15" hidden="false" customHeight="false" outlineLevel="0" collapsed="false">
      <c r="A25" s="18"/>
      <c r="B25" s="19"/>
      <c r="C25" s="10"/>
      <c r="D25" s="10"/>
      <c r="E25" s="10"/>
      <c r="F25" s="10"/>
      <c r="G25" s="10"/>
      <c r="H25" s="10"/>
      <c r="I25" s="10"/>
      <c r="J25" s="10"/>
      <c r="K25" s="10"/>
      <c r="L25" s="19"/>
      <c r="M25" s="10"/>
      <c r="N25" s="19"/>
      <c r="O25" s="10"/>
      <c r="P25" s="10"/>
      <c r="Q25" s="10"/>
      <c r="R25" s="19"/>
      <c r="S25" s="10"/>
    </row>
    <row r="26" customFormat="false" ht="15" hidden="false" customHeight="false" outlineLevel="0" collapsed="false">
      <c r="A26" s="18"/>
      <c r="B26" s="19"/>
      <c r="C26" s="10"/>
      <c r="D26" s="10"/>
      <c r="E26" s="10"/>
      <c r="F26" s="10"/>
      <c r="G26" s="10"/>
      <c r="H26" s="10"/>
      <c r="I26" s="10"/>
      <c r="J26" s="10"/>
      <c r="K26" s="10"/>
      <c r="L26" s="19"/>
      <c r="M26" s="10"/>
      <c r="N26" s="19"/>
      <c r="O26" s="10"/>
      <c r="P26" s="10"/>
      <c r="Q26" s="10"/>
      <c r="R26" s="19"/>
      <c r="S26" s="10"/>
    </row>
    <row r="27" customFormat="false" ht="15" hidden="false" customHeight="false" outlineLevel="0" collapsed="false">
      <c r="A27" s="18"/>
      <c r="B27" s="19"/>
      <c r="C27" s="10"/>
      <c r="D27" s="10"/>
      <c r="E27" s="10"/>
      <c r="F27" s="10"/>
      <c r="G27" s="10"/>
      <c r="H27" s="10"/>
      <c r="I27" s="10"/>
      <c r="J27" s="10"/>
      <c r="K27" s="10"/>
      <c r="L27" s="19"/>
      <c r="M27" s="10"/>
      <c r="N27" s="19"/>
      <c r="O27" s="10"/>
      <c r="P27" s="10"/>
      <c r="Q27" s="10"/>
      <c r="R27" s="19"/>
      <c r="S27" s="10"/>
    </row>
    <row r="28" customFormat="false" ht="15" hidden="false" customHeight="false" outlineLevel="0" collapsed="false">
      <c r="A28" s="18"/>
      <c r="B28" s="19"/>
      <c r="C28" s="10"/>
      <c r="D28" s="10"/>
      <c r="E28" s="10"/>
      <c r="F28" s="10"/>
      <c r="G28" s="10"/>
      <c r="H28" s="10"/>
      <c r="I28" s="10"/>
      <c r="J28" s="10"/>
      <c r="K28" s="10"/>
      <c r="L28" s="19"/>
      <c r="M28" s="10"/>
      <c r="N28" s="19"/>
      <c r="O28" s="10"/>
      <c r="P28" s="10"/>
      <c r="Q28" s="10"/>
      <c r="R28" s="19"/>
      <c r="S28" s="10"/>
    </row>
    <row r="29" customFormat="false" ht="15" hidden="false" customHeight="false" outlineLevel="0" collapsed="false">
      <c r="A29" s="18"/>
      <c r="B29" s="19"/>
      <c r="C29" s="10"/>
      <c r="D29" s="10"/>
      <c r="E29" s="10"/>
      <c r="F29" s="10"/>
      <c r="G29" s="10"/>
      <c r="H29" s="10"/>
      <c r="I29" s="10"/>
      <c r="J29" s="10"/>
      <c r="K29" s="10"/>
      <c r="L29" s="19"/>
      <c r="M29" s="10"/>
      <c r="N29" s="19"/>
      <c r="O29" s="10"/>
      <c r="P29" s="10"/>
      <c r="Q29" s="10"/>
      <c r="R29" s="19"/>
      <c r="S29" s="10"/>
    </row>
    <row r="30" customFormat="false" ht="15" hidden="false" customHeight="false" outlineLevel="0" collapsed="false">
      <c r="A30" s="18"/>
      <c r="B30" s="19"/>
      <c r="C30" s="10"/>
      <c r="D30" s="10"/>
      <c r="E30" s="10"/>
      <c r="F30" s="10"/>
      <c r="G30" s="10"/>
      <c r="H30" s="10"/>
      <c r="I30" s="10"/>
      <c r="J30" s="10"/>
      <c r="K30" s="10"/>
      <c r="L30" s="19"/>
      <c r="M30" s="10"/>
      <c r="N30" s="19"/>
      <c r="O30" s="10"/>
      <c r="P30" s="10"/>
      <c r="Q30" s="10"/>
      <c r="R30" s="19"/>
      <c r="S30" s="10"/>
    </row>
    <row r="31" customFormat="false" ht="15" hidden="false" customHeight="false" outlineLevel="0" collapsed="false">
      <c r="A31" s="18"/>
      <c r="B31" s="19"/>
      <c r="C31" s="10"/>
      <c r="D31" s="10"/>
      <c r="E31" s="10"/>
      <c r="F31" s="10"/>
      <c r="G31" s="10"/>
      <c r="H31" s="10"/>
      <c r="I31" s="10"/>
      <c r="J31" s="10"/>
      <c r="K31" s="10"/>
      <c r="L31" s="19"/>
      <c r="M31" s="10"/>
      <c r="N31" s="19"/>
      <c r="O31" s="10"/>
      <c r="P31" s="10"/>
      <c r="Q31" s="10"/>
      <c r="R31" s="19"/>
      <c r="S31" s="10"/>
    </row>
    <row r="32" customFormat="false" ht="15" hidden="false" customHeight="false" outlineLevel="0" collapsed="false">
      <c r="A32" s="18"/>
      <c r="B32" s="19"/>
      <c r="C32" s="10"/>
      <c r="D32" s="10"/>
      <c r="E32" s="10"/>
      <c r="F32" s="10"/>
      <c r="G32" s="10"/>
      <c r="H32" s="10"/>
      <c r="I32" s="10"/>
      <c r="J32" s="10"/>
      <c r="K32" s="10"/>
      <c r="L32" s="19"/>
      <c r="M32" s="10"/>
      <c r="N32" s="19"/>
      <c r="O32" s="10"/>
      <c r="P32" s="10"/>
      <c r="Q32" s="10"/>
      <c r="R32" s="19"/>
      <c r="S32" s="10"/>
    </row>
    <row r="33" customFormat="false" ht="15" hidden="false" customHeight="false" outlineLevel="0" collapsed="false">
      <c r="A33" s="18"/>
      <c r="B33" s="19"/>
      <c r="C33" s="10"/>
      <c r="D33" s="10"/>
      <c r="E33" s="10"/>
      <c r="F33" s="10"/>
      <c r="G33" s="10"/>
      <c r="H33" s="10"/>
      <c r="I33" s="10"/>
      <c r="J33" s="10"/>
      <c r="K33" s="10"/>
      <c r="L33" s="19"/>
      <c r="M33" s="10"/>
      <c r="N33" s="19"/>
      <c r="O33" s="10"/>
      <c r="P33" s="10"/>
      <c r="Q33" s="10"/>
      <c r="R33" s="19"/>
      <c r="S33" s="10"/>
    </row>
    <row r="34" customFormat="false" ht="15" hidden="false" customHeight="false" outlineLevel="0" collapsed="false">
      <c r="A34" s="18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9"/>
      <c r="M34" s="10"/>
      <c r="N34" s="19"/>
      <c r="O34" s="10"/>
      <c r="P34" s="10"/>
      <c r="Q34" s="10"/>
      <c r="R34" s="19"/>
      <c r="S34" s="10"/>
    </row>
    <row r="35" customFormat="false" ht="15" hidden="false" customHeight="false" outlineLevel="0" collapsed="false">
      <c r="A35" s="18"/>
      <c r="B35" s="19"/>
      <c r="C35" s="10"/>
      <c r="D35" s="10"/>
      <c r="E35" s="10"/>
      <c r="F35" s="10"/>
      <c r="G35" s="10"/>
      <c r="H35" s="10"/>
      <c r="I35" s="10"/>
      <c r="J35" s="10"/>
      <c r="K35" s="10"/>
      <c r="L35" s="19"/>
      <c r="M35" s="10"/>
      <c r="N35" s="19"/>
      <c r="O35" s="10"/>
      <c r="P35" s="10"/>
      <c r="Q35" s="10"/>
      <c r="R35" s="19"/>
      <c r="S35" s="10"/>
    </row>
    <row r="36" customFormat="false" ht="15" hidden="false" customHeight="false" outlineLevel="0" collapsed="false">
      <c r="A36" s="18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9"/>
      <c r="M36" s="10"/>
      <c r="N36" s="19"/>
      <c r="O36" s="10"/>
      <c r="P36" s="10"/>
      <c r="Q36" s="10"/>
      <c r="R36" s="19"/>
      <c r="S36" s="10"/>
    </row>
    <row r="37" customFormat="false" ht="15" hidden="false" customHeight="false" outlineLevel="0" collapsed="false">
      <c r="A37" s="18"/>
      <c r="B37" s="19"/>
      <c r="C37" s="10"/>
      <c r="D37" s="10"/>
      <c r="E37" s="10"/>
      <c r="F37" s="10"/>
      <c r="G37" s="10"/>
      <c r="H37" s="10"/>
      <c r="I37" s="10"/>
      <c r="J37" s="10"/>
      <c r="K37" s="10"/>
      <c r="L37" s="19"/>
      <c r="M37" s="10"/>
      <c r="N37" s="19"/>
      <c r="O37" s="10"/>
      <c r="P37" s="10"/>
      <c r="Q37" s="10"/>
      <c r="R37" s="19"/>
      <c r="S37" s="10"/>
    </row>
    <row r="38" customFormat="false" ht="15" hidden="false" customHeight="false" outlineLevel="0" collapsed="false">
      <c r="A38" s="18"/>
      <c r="B38" s="19"/>
      <c r="C38" s="10"/>
      <c r="D38" s="10"/>
      <c r="E38" s="10"/>
      <c r="F38" s="10"/>
      <c r="G38" s="10"/>
      <c r="H38" s="10"/>
      <c r="I38" s="10"/>
      <c r="J38" s="10"/>
      <c r="K38" s="10"/>
      <c r="L38" s="19"/>
      <c r="M38" s="10"/>
      <c r="N38" s="19"/>
      <c r="O38" s="10"/>
      <c r="P38" s="10"/>
      <c r="Q38" s="10"/>
      <c r="R38" s="19"/>
      <c r="S38" s="10"/>
    </row>
    <row r="39" customFormat="false" ht="15" hidden="false" customHeight="false" outlineLevel="0" collapsed="false">
      <c r="A39" s="18"/>
      <c r="B39" s="19"/>
      <c r="C39" s="10"/>
      <c r="D39" s="10"/>
      <c r="E39" s="10"/>
      <c r="F39" s="10"/>
      <c r="G39" s="10"/>
      <c r="H39" s="10"/>
      <c r="I39" s="10"/>
      <c r="J39" s="10"/>
      <c r="K39" s="10"/>
      <c r="L39" s="19"/>
      <c r="M39" s="10"/>
      <c r="N39" s="19"/>
      <c r="O39" s="10"/>
      <c r="P39" s="10"/>
      <c r="Q39" s="10"/>
      <c r="R39" s="19"/>
      <c r="S39" s="10"/>
    </row>
    <row r="40" customFormat="false" ht="15" hidden="false" customHeight="false" outlineLevel="0" collapsed="false">
      <c r="A40" s="18"/>
      <c r="B40" s="19"/>
      <c r="C40" s="10"/>
      <c r="D40" s="10"/>
      <c r="E40" s="10"/>
      <c r="F40" s="10"/>
      <c r="G40" s="10"/>
      <c r="H40" s="10"/>
      <c r="I40" s="10"/>
      <c r="J40" s="10"/>
      <c r="K40" s="10"/>
      <c r="L40" s="19"/>
      <c r="M40" s="10"/>
      <c r="N40" s="19"/>
      <c r="O40" s="10"/>
      <c r="P40" s="10"/>
      <c r="Q40" s="10"/>
      <c r="R40" s="19"/>
      <c r="S40" s="10"/>
    </row>
    <row r="41" customFormat="false" ht="15" hidden="false" customHeight="false" outlineLevel="0" collapsed="false">
      <c r="A41" s="18"/>
      <c r="B41" s="19"/>
      <c r="C41" s="10"/>
      <c r="D41" s="10"/>
      <c r="E41" s="10"/>
      <c r="F41" s="10"/>
      <c r="G41" s="10"/>
      <c r="H41" s="10"/>
      <c r="I41" s="10"/>
      <c r="J41" s="10"/>
      <c r="K41" s="10"/>
      <c r="L41" s="19"/>
      <c r="M41" s="10"/>
      <c r="N41" s="19"/>
      <c r="O41" s="10"/>
      <c r="P41" s="10"/>
      <c r="Q41" s="10"/>
      <c r="R41" s="19"/>
      <c r="S41" s="10"/>
    </row>
    <row r="42" customFormat="false" ht="15" hidden="false" customHeight="false" outlineLevel="0" collapsed="false">
      <c r="A42" s="18"/>
      <c r="B42" s="19"/>
      <c r="C42" s="10"/>
      <c r="D42" s="10"/>
      <c r="E42" s="10"/>
      <c r="F42" s="10"/>
      <c r="G42" s="10"/>
      <c r="H42" s="10"/>
      <c r="I42" s="10"/>
      <c r="J42" s="10"/>
      <c r="K42" s="10"/>
      <c r="L42" s="19"/>
      <c r="M42" s="10"/>
      <c r="N42" s="19"/>
      <c r="O42" s="10"/>
      <c r="P42" s="10"/>
      <c r="Q42" s="10"/>
      <c r="R42" s="19"/>
      <c r="S42" s="10"/>
    </row>
    <row r="43" customFormat="false" ht="15" hidden="false" customHeight="false" outlineLevel="0" collapsed="false">
      <c r="A43" s="18"/>
      <c r="B43" s="19"/>
      <c r="C43" s="10"/>
      <c r="D43" s="10"/>
      <c r="E43" s="10"/>
      <c r="F43" s="10"/>
      <c r="G43" s="10"/>
      <c r="H43" s="10"/>
      <c r="I43" s="10"/>
      <c r="J43" s="10"/>
      <c r="K43" s="10"/>
      <c r="L43" s="19"/>
      <c r="M43" s="10"/>
      <c r="N43" s="19"/>
      <c r="O43" s="10"/>
      <c r="P43" s="10"/>
      <c r="Q43" s="10"/>
      <c r="R43" s="19"/>
      <c r="S43" s="10"/>
    </row>
    <row r="44" customFormat="false" ht="15" hidden="false" customHeight="false" outlineLevel="0" collapsed="false">
      <c r="A44" s="18"/>
      <c r="B44" s="19"/>
      <c r="C44" s="10"/>
      <c r="D44" s="10"/>
      <c r="E44" s="10"/>
      <c r="F44" s="10"/>
      <c r="G44" s="10"/>
      <c r="H44" s="10"/>
      <c r="I44" s="10"/>
      <c r="J44" s="10"/>
      <c r="K44" s="10"/>
      <c r="L44" s="19"/>
      <c r="M44" s="10"/>
      <c r="N44" s="19"/>
      <c r="O44" s="10"/>
      <c r="P44" s="10"/>
      <c r="Q44" s="10"/>
      <c r="R44" s="19"/>
      <c r="S44" s="10"/>
    </row>
    <row r="45" customFormat="false" ht="15" hidden="false" customHeight="false" outlineLevel="0" collapsed="false">
      <c r="A45" s="18"/>
      <c r="B45" s="19"/>
      <c r="C45" s="10"/>
      <c r="D45" s="10"/>
      <c r="E45" s="10"/>
      <c r="F45" s="10"/>
      <c r="G45" s="10"/>
      <c r="H45" s="10"/>
      <c r="I45" s="10"/>
      <c r="J45" s="10"/>
      <c r="K45" s="10"/>
      <c r="L45" s="19"/>
      <c r="M45" s="10"/>
      <c r="N45" s="19"/>
      <c r="O45" s="10"/>
      <c r="P45" s="10"/>
      <c r="Q45" s="10"/>
      <c r="R45" s="19"/>
      <c r="S45" s="10"/>
    </row>
    <row r="46" customFormat="false" ht="15" hidden="false" customHeight="false" outlineLevel="0" collapsed="false">
      <c r="A46" s="18"/>
      <c r="B46" s="19"/>
      <c r="C46" s="10"/>
      <c r="D46" s="10"/>
      <c r="E46" s="10"/>
      <c r="F46" s="10"/>
      <c r="G46" s="10"/>
      <c r="H46" s="10"/>
      <c r="I46" s="10"/>
      <c r="J46" s="10"/>
      <c r="K46" s="10"/>
      <c r="L46" s="19"/>
      <c r="M46" s="10"/>
      <c r="N46" s="19"/>
      <c r="O46" s="10"/>
      <c r="P46" s="10"/>
      <c r="Q46" s="10"/>
      <c r="R46" s="19"/>
      <c r="S46" s="10"/>
    </row>
    <row r="47" customFormat="false" ht="15" hidden="false" customHeight="false" outlineLevel="0" collapsed="false">
      <c r="A47" s="18"/>
      <c r="B47" s="19"/>
      <c r="C47" s="10"/>
      <c r="D47" s="10"/>
      <c r="E47" s="10"/>
      <c r="F47" s="10"/>
      <c r="G47" s="10"/>
      <c r="H47" s="10"/>
      <c r="I47" s="10"/>
      <c r="J47" s="10"/>
      <c r="K47" s="10"/>
      <c r="L47" s="19"/>
      <c r="M47" s="10"/>
      <c r="N47" s="19"/>
      <c r="O47" s="10"/>
      <c r="P47" s="10"/>
      <c r="Q47" s="10"/>
      <c r="R47" s="19"/>
      <c r="S47" s="10"/>
    </row>
    <row r="48" customFormat="false" ht="15" hidden="false" customHeight="false" outlineLevel="0" collapsed="false">
      <c r="A48" s="18"/>
      <c r="B48" s="19"/>
      <c r="C48" s="10"/>
      <c r="D48" s="10"/>
      <c r="E48" s="10"/>
      <c r="F48" s="10"/>
      <c r="G48" s="10"/>
      <c r="H48" s="10"/>
      <c r="I48" s="10"/>
      <c r="J48" s="10"/>
      <c r="K48" s="10"/>
      <c r="L48" s="19"/>
      <c r="M48" s="10"/>
      <c r="N48" s="19"/>
      <c r="O48" s="10"/>
      <c r="P48" s="10"/>
      <c r="Q48" s="10"/>
      <c r="R48" s="19"/>
      <c r="S48" s="10"/>
    </row>
    <row r="49" customFormat="false" ht="15" hidden="false" customHeight="false" outlineLevel="0" collapsed="false">
      <c r="A49" s="18"/>
      <c r="B49" s="19"/>
      <c r="C49" s="10"/>
      <c r="D49" s="10"/>
      <c r="E49" s="10"/>
      <c r="F49" s="10"/>
      <c r="G49" s="10"/>
      <c r="H49" s="10"/>
      <c r="I49" s="10"/>
      <c r="J49" s="10"/>
      <c r="K49" s="10"/>
      <c r="L49" s="19"/>
      <c r="M49" s="10"/>
      <c r="N49" s="19"/>
      <c r="O49" s="10"/>
      <c r="P49" s="10"/>
      <c r="Q49" s="10"/>
      <c r="R49" s="19"/>
      <c r="S49" s="10"/>
    </row>
    <row r="50" customFormat="false" ht="15" hidden="false" customHeight="false" outlineLevel="0" collapsed="false">
      <c r="A50" s="18"/>
      <c r="B50" s="19"/>
      <c r="C50" s="10"/>
      <c r="D50" s="10"/>
      <c r="E50" s="10"/>
      <c r="F50" s="10"/>
      <c r="G50" s="10"/>
      <c r="H50" s="10"/>
      <c r="I50" s="10"/>
      <c r="J50" s="10"/>
      <c r="K50" s="10"/>
      <c r="L50" s="19"/>
      <c r="M50" s="10"/>
      <c r="N50" s="19"/>
      <c r="O50" s="10"/>
      <c r="P50" s="10"/>
      <c r="Q50" s="10"/>
      <c r="R50" s="19"/>
      <c r="S50" s="10"/>
    </row>
    <row r="51" customFormat="false" ht="15" hidden="false" customHeight="false" outlineLevel="0" collapsed="false">
      <c r="A51" s="18"/>
      <c r="B51" s="19"/>
      <c r="C51" s="10"/>
      <c r="D51" s="10"/>
      <c r="E51" s="10"/>
      <c r="F51" s="10"/>
      <c r="G51" s="10"/>
      <c r="H51" s="10"/>
      <c r="I51" s="10"/>
      <c r="J51" s="10"/>
      <c r="K51" s="10"/>
      <c r="L51" s="19"/>
      <c r="M51" s="10"/>
      <c r="N51" s="19"/>
      <c r="O51" s="10"/>
      <c r="P51" s="10"/>
      <c r="Q51" s="10"/>
      <c r="R51" s="19"/>
      <c r="S51" s="10"/>
    </row>
    <row r="52" customFormat="false" ht="15" hidden="false" customHeight="false" outlineLevel="0" collapsed="false">
      <c r="A52" s="18"/>
      <c r="B52" s="19"/>
      <c r="C52" s="10"/>
      <c r="D52" s="10"/>
      <c r="E52" s="10"/>
      <c r="F52" s="10"/>
      <c r="G52" s="10"/>
      <c r="H52" s="10"/>
      <c r="I52" s="10"/>
      <c r="J52" s="10"/>
      <c r="K52" s="10"/>
      <c r="L52" s="19"/>
      <c r="M52" s="10"/>
      <c r="N52" s="19"/>
      <c r="O52" s="10"/>
      <c r="P52" s="10"/>
      <c r="Q52" s="10"/>
      <c r="R52" s="19"/>
      <c r="S52" s="10"/>
    </row>
    <row r="53" customFormat="false" ht="15" hidden="false" customHeight="false" outlineLevel="0" collapsed="false">
      <c r="A53" s="18"/>
      <c r="B53" s="19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10"/>
      <c r="N53" s="19"/>
      <c r="O53" s="10"/>
      <c r="P53" s="10"/>
      <c r="Q53" s="10"/>
      <c r="R53" s="19"/>
      <c r="S53" s="10"/>
    </row>
    <row r="54" customFormat="false" ht="15" hidden="false" customHeight="false" outlineLevel="0" collapsed="false">
      <c r="A54" s="18"/>
      <c r="B54" s="19"/>
      <c r="C54" s="10"/>
      <c r="D54" s="10"/>
      <c r="E54" s="10"/>
      <c r="F54" s="10"/>
      <c r="G54" s="10"/>
      <c r="H54" s="10"/>
      <c r="I54" s="10"/>
      <c r="J54" s="10"/>
      <c r="K54" s="10"/>
      <c r="L54" s="19"/>
      <c r="M54" s="10"/>
      <c r="N54" s="19"/>
      <c r="O54" s="10"/>
      <c r="P54" s="10"/>
      <c r="Q54" s="10"/>
      <c r="R54" s="19"/>
      <c r="S54" s="10"/>
    </row>
    <row r="55" customFormat="false" ht="15" hidden="false" customHeight="false" outlineLevel="0" collapsed="false">
      <c r="A55" s="18"/>
      <c r="B55" s="19"/>
      <c r="C55" s="10"/>
      <c r="D55" s="10"/>
      <c r="E55" s="10"/>
      <c r="F55" s="10"/>
      <c r="G55" s="10"/>
      <c r="H55" s="10"/>
      <c r="I55" s="10"/>
      <c r="J55" s="10"/>
      <c r="K55" s="10"/>
      <c r="L55" s="19"/>
      <c r="M55" s="10"/>
      <c r="N55" s="19"/>
      <c r="O55" s="10"/>
      <c r="P55" s="10"/>
      <c r="Q55" s="10"/>
      <c r="R55" s="19"/>
      <c r="S55" s="10"/>
    </row>
    <row r="56" customFormat="false" ht="15" hidden="false" customHeight="false" outlineLevel="0" collapsed="false">
      <c r="A56" s="18"/>
      <c r="B56" s="19"/>
      <c r="C56" s="10"/>
      <c r="D56" s="10"/>
      <c r="E56" s="10"/>
      <c r="F56" s="10"/>
      <c r="G56" s="10"/>
      <c r="H56" s="10"/>
      <c r="I56" s="10"/>
      <c r="J56" s="10"/>
      <c r="K56" s="10"/>
      <c r="L56" s="19"/>
      <c r="M56" s="10"/>
      <c r="N56" s="19"/>
      <c r="O56" s="10"/>
      <c r="P56" s="10"/>
      <c r="Q56" s="10"/>
      <c r="R56" s="19"/>
      <c r="S56" s="10"/>
    </row>
    <row r="57" customFormat="false" ht="15" hidden="false" customHeight="false" outlineLevel="0" collapsed="false">
      <c r="A57" s="18"/>
      <c r="B57" s="19"/>
      <c r="C57" s="10"/>
      <c r="D57" s="10"/>
      <c r="E57" s="10"/>
      <c r="F57" s="10"/>
      <c r="G57" s="10"/>
      <c r="H57" s="10"/>
      <c r="I57" s="10"/>
      <c r="J57" s="10"/>
      <c r="K57" s="10"/>
      <c r="L57" s="19"/>
      <c r="M57" s="10"/>
      <c r="N57" s="19"/>
      <c r="O57" s="10"/>
      <c r="P57" s="10"/>
      <c r="Q57" s="10"/>
      <c r="R57" s="19"/>
      <c r="S57" s="10"/>
    </row>
    <row r="58" customFormat="false" ht="15" hidden="false" customHeight="false" outlineLevel="0" collapsed="false">
      <c r="A58" s="18"/>
      <c r="B58" s="19"/>
      <c r="C58" s="10"/>
      <c r="D58" s="10"/>
      <c r="E58" s="10"/>
      <c r="F58" s="10"/>
      <c r="G58" s="10"/>
      <c r="H58" s="10"/>
      <c r="I58" s="10"/>
      <c r="J58" s="10"/>
      <c r="K58" s="10"/>
      <c r="L58" s="19"/>
      <c r="M58" s="10"/>
      <c r="N58" s="19"/>
      <c r="O58" s="10"/>
      <c r="P58" s="10"/>
      <c r="Q58" s="10"/>
      <c r="R58" s="19"/>
      <c r="S58" s="10"/>
    </row>
    <row r="59" customFormat="false" ht="15" hidden="false" customHeight="false" outlineLevel="0" collapsed="false">
      <c r="A59" s="18"/>
      <c r="B59" s="19"/>
      <c r="C59" s="10"/>
      <c r="D59" s="10"/>
      <c r="E59" s="10"/>
      <c r="F59" s="10"/>
      <c r="G59" s="10"/>
      <c r="H59" s="10"/>
      <c r="I59" s="10"/>
      <c r="J59" s="10"/>
      <c r="K59" s="10"/>
      <c r="L59" s="19"/>
      <c r="M59" s="10"/>
      <c r="N59" s="19"/>
      <c r="O59" s="10"/>
      <c r="P59" s="10"/>
      <c r="Q59" s="10"/>
      <c r="R59" s="19"/>
      <c r="S59" s="10"/>
    </row>
    <row r="60" customFormat="false" ht="15" hidden="false" customHeight="false" outlineLevel="0" collapsed="false">
      <c r="A60" s="18"/>
      <c r="B60" s="19"/>
      <c r="C60" s="10"/>
      <c r="D60" s="10"/>
      <c r="E60" s="10"/>
      <c r="F60" s="10"/>
      <c r="G60" s="10"/>
      <c r="H60" s="10"/>
      <c r="I60" s="10"/>
      <c r="J60" s="10"/>
      <c r="K60" s="10"/>
      <c r="L60" s="19"/>
      <c r="M60" s="10"/>
      <c r="N60" s="19"/>
      <c r="O60" s="10"/>
      <c r="P60" s="10"/>
      <c r="Q60" s="10"/>
      <c r="R60" s="19"/>
      <c r="S60" s="10"/>
    </row>
    <row r="61" customFormat="false" ht="15" hidden="false" customHeight="false" outlineLevel="0" collapsed="false">
      <c r="A61" s="18"/>
      <c r="B61" s="19"/>
      <c r="C61" s="10"/>
      <c r="D61" s="10"/>
      <c r="E61" s="10"/>
      <c r="F61" s="10"/>
      <c r="G61" s="10"/>
      <c r="H61" s="10"/>
      <c r="I61" s="10"/>
      <c r="J61" s="10"/>
      <c r="K61" s="10"/>
      <c r="L61" s="19"/>
      <c r="M61" s="10"/>
      <c r="N61" s="19"/>
      <c r="O61" s="10"/>
      <c r="P61" s="10"/>
      <c r="Q61" s="10"/>
      <c r="R61" s="19"/>
      <c r="S61" s="10"/>
    </row>
    <row r="62" customFormat="false" ht="15" hidden="false" customHeight="false" outlineLevel="0" collapsed="false">
      <c r="A62" s="18"/>
      <c r="B62" s="19"/>
      <c r="C62" s="10"/>
      <c r="D62" s="10"/>
      <c r="E62" s="10"/>
      <c r="F62" s="10"/>
      <c r="G62" s="10"/>
      <c r="H62" s="10"/>
      <c r="I62" s="10"/>
      <c r="J62" s="10"/>
      <c r="K62" s="10"/>
      <c r="L62" s="19"/>
      <c r="M62" s="10"/>
      <c r="N62" s="19"/>
      <c r="O62" s="10"/>
      <c r="P62" s="10"/>
      <c r="Q62" s="10"/>
      <c r="R62" s="19"/>
      <c r="S62" s="10"/>
    </row>
    <row r="63" customFormat="false" ht="15" hidden="false" customHeight="false" outlineLevel="0" collapsed="false">
      <c r="A63" s="18"/>
      <c r="B63" s="19"/>
      <c r="C63" s="10"/>
      <c r="D63" s="10"/>
      <c r="E63" s="10"/>
      <c r="F63" s="10"/>
      <c r="G63" s="10"/>
      <c r="H63" s="10"/>
      <c r="I63" s="10"/>
      <c r="J63" s="10"/>
      <c r="K63" s="10"/>
      <c r="L63" s="19"/>
      <c r="M63" s="10"/>
      <c r="N63" s="19"/>
      <c r="O63" s="10"/>
      <c r="P63" s="10"/>
      <c r="Q63" s="10"/>
      <c r="R63" s="19"/>
      <c r="S63" s="10"/>
    </row>
    <row r="64" customFormat="false" ht="15" hidden="false" customHeight="false" outlineLevel="0" collapsed="false">
      <c r="A64" s="18"/>
      <c r="B64" s="19"/>
      <c r="C64" s="10"/>
      <c r="D64" s="10"/>
      <c r="E64" s="10"/>
      <c r="F64" s="10"/>
      <c r="G64" s="10"/>
      <c r="H64" s="10"/>
      <c r="I64" s="10"/>
      <c r="J64" s="10"/>
      <c r="K64" s="10"/>
      <c r="L64" s="19"/>
      <c r="M64" s="10"/>
      <c r="N64" s="19"/>
      <c r="O64" s="10"/>
      <c r="P64" s="10"/>
      <c r="Q64" s="10"/>
      <c r="R64" s="19"/>
      <c r="S64" s="10"/>
    </row>
    <row r="65" customFormat="false" ht="15" hidden="false" customHeight="false" outlineLevel="0" collapsed="false">
      <c r="A65" s="18"/>
      <c r="B65" s="19"/>
      <c r="C65" s="10"/>
      <c r="D65" s="10"/>
      <c r="E65" s="10"/>
      <c r="F65" s="10"/>
      <c r="G65" s="10"/>
      <c r="H65" s="10"/>
      <c r="I65" s="10"/>
      <c r="J65" s="10"/>
      <c r="K65" s="10"/>
      <c r="L65" s="19"/>
      <c r="M65" s="10"/>
      <c r="N65" s="19"/>
      <c r="O65" s="10"/>
      <c r="P65" s="10"/>
      <c r="Q65" s="10"/>
      <c r="R65" s="19"/>
      <c r="S65" s="10"/>
    </row>
    <row r="66" customFormat="false" ht="15" hidden="false" customHeight="false" outlineLevel="0" collapsed="false">
      <c r="A66" s="18"/>
      <c r="B66" s="19"/>
      <c r="C66" s="10"/>
      <c r="D66" s="10"/>
      <c r="E66" s="10"/>
      <c r="F66" s="10"/>
      <c r="G66" s="10"/>
      <c r="H66" s="10"/>
      <c r="I66" s="10"/>
      <c r="J66" s="10"/>
      <c r="K66" s="10"/>
      <c r="L66" s="19"/>
      <c r="M66" s="10"/>
      <c r="N66" s="19"/>
      <c r="O66" s="10"/>
      <c r="P66" s="10"/>
      <c r="Q66" s="10"/>
      <c r="R66" s="19"/>
      <c r="S66" s="10"/>
    </row>
    <row r="67" customFormat="false" ht="15" hidden="false" customHeight="false" outlineLevel="0" collapsed="false">
      <c r="A67" s="18"/>
      <c r="B67" s="19"/>
      <c r="C67" s="10"/>
      <c r="D67" s="10"/>
      <c r="E67" s="10"/>
      <c r="F67" s="10"/>
      <c r="G67" s="10"/>
      <c r="H67" s="10"/>
      <c r="I67" s="10"/>
      <c r="J67" s="10"/>
      <c r="K67" s="10"/>
      <c r="L67" s="19"/>
      <c r="M67" s="10"/>
      <c r="N67" s="19"/>
      <c r="O67" s="10"/>
      <c r="P67" s="10"/>
      <c r="Q67" s="10"/>
      <c r="R67" s="19"/>
      <c r="S67" s="10"/>
    </row>
    <row r="68" customFormat="false" ht="15" hidden="false" customHeight="false" outlineLevel="0" collapsed="false">
      <c r="A68" s="18"/>
      <c r="B68" s="19"/>
      <c r="C68" s="10"/>
      <c r="D68" s="10"/>
      <c r="E68" s="10"/>
      <c r="F68" s="10"/>
      <c r="G68" s="10"/>
      <c r="H68" s="10"/>
      <c r="I68" s="10"/>
      <c r="J68" s="10"/>
      <c r="K68" s="10"/>
      <c r="L68" s="19"/>
      <c r="M68" s="10"/>
      <c r="N68" s="19"/>
      <c r="O68" s="10"/>
      <c r="P68" s="10"/>
      <c r="Q68" s="10"/>
      <c r="R68" s="19"/>
      <c r="S68" s="10"/>
    </row>
    <row r="69" customFormat="false" ht="15" hidden="false" customHeight="false" outlineLevel="0" collapsed="false">
      <c r="A69" s="18"/>
      <c r="B69" s="19"/>
      <c r="C69" s="10"/>
      <c r="D69" s="10"/>
      <c r="E69" s="10"/>
      <c r="F69" s="10"/>
      <c r="G69" s="10"/>
      <c r="H69" s="10"/>
      <c r="I69" s="10"/>
      <c r="J69" s="10"/>
      <c r="K69" s="10"/>
      <c r="L69" s="19"/>
      <c r="M69" s="10"/>
      <c r="N69" s="19"/>
      <c r="O69" s="10"/>
      <c r="P69" s="10"/>
      <c r="Q69" s="10"/>
      <c r="R69" s="19"/>
      <c r="S69" s="10"/>
    </row>
    <row r="70" customFormat="false" ht="15" hidden="false" customHeight="false" outlineLevel="0" collapsed="false">
      <c r="A70" s="18"/>
      <c r="B70" s="19"/>
      <c r="C70" s="10"/>
      <c r="D70" s="10"/>
      <c r="E70" s="10"/>
      <c r="F70" s="10"/>
      <c r="G70" s="10"/>
      <c r="H70" s="10"/>
      <c r="I70" s="10"/>
      <c r="J70" s="10"/>
      <c r="K70" s="10"/>
      <c r="L70" s="19"/>
      <c r="M70" s="10"/>
      <c r="N70" s="19"/>
      <c r="O70" s="10"/>
      <c r="P70" s="10"/>
      <c r="Q70" s="10"/>
      <c r="R70" s="19"/>
      <c r="S70" s="10"/>
    </row>
    <row r="71" customFormat="false" ht="15" hidden="false" customHeight="false" outlineLevel="0" collapsed="false">
      <c r="A71" s="18"/>
      <c r="B71" s="19"/>
      <c r="C71" s="10"/>
      <c r="D71" s="10"/>
      <c r="E71" s="10"/>
      <c r="F71" s="10"/>
      <c r="G71" s="10"/>
      <c r="H71" s="10"/>
      <c r="I71" s="10"/>
      <c r="J71" s="10"/>
      <c r="K71" s="10"/>
      <c r="L71" s="19"/>
      <c r="M71" s="10"/>
      <c r="N71" s="19"/>
      <c r="O71" s="10"/>
      <c r="P71" s="10"/>
      <c r="Q71" s="10"/>
      <c r="R71" s="19"/>
      <c r="S71" s="10"/>
    </row>
    <row r="72" customFormat="false" ht="15" hidden="false" customHeight="false" outlineLevel="0" collapsed="false">
      <c r="A72" s="18"/>
      <c r="B72" s="19"/>
      <c r="C72" s="10"/>
      <c r="D72" s="10"/>
      <c r="E72" s="10"/>
      <c r="F72" s="10"/>
      <c r="G72" s="10"/>
      <c r="H72" s="10"/>
      <c r="I72" s="10"/>
      <c r="J72" s="10"/>
      <c r="K72" s="10"/>
      <c r="L72" s="19"/>
      <c r="M72" s="10"/>
      <c r="N72" s="19"/>
      <c r="O72" s="10"/>
      <c r="P72" s="10"/>
      <c r="Q72" s="10"/>
      <c r="R72" s="19"/>
      <c r="S72" s="10"/>
    </row>
    <row r="73" customFormat="false" ht="15" hidden="false" customHeight="false" outlineLevel="0" collapsed="false">
      <c r="A73" s="18"/>
      <c r="B73" s="19"/>
      <c r="C73" s="10"/>
      <c r="D73" s="10"/>
      <c r="E73" s="10"/>
      <c r="F73" s="10"/>
      <c r="G73" s="10"/>
      <c r="H73" s="10"/>
      <c r="I73" s="10"/>
      <c r="J73" s="10"/>
      <c r="K73" s="10"/>
      <c r="L73" s="19"/>
      <c r="M73" s="10"/>
      <c r="N73" s="19"/>
      <c r="O73" s="10"/>
      <c r="P73" s="10"/>
      <c r="Q73" s="10"/>
      <c r="R73" s="19"/>
      <c r="S73" s="10"/>
    </row>
    <row r="74" customFormat="false" ht="15" hidden="false" customHeight="false" outlineLevel="0" collapsed="false">
      <c r="A74" s="18"/>
      <c r="B74" s="19"/>
      <c r="C74" s="10"/>
      <c r="D74" s="10"/>
      <c r="E74" s="10"/>
      <c r="F74" s="10"/>
      <c r="G74" s="10"/>
      <c r="H74" s="10"/>
      <c r="I74" s="10"/>
      <c r="J74" s="10"/>
      <c r="K74" s="10"/>
      <c r="L74" s="19"/>
      <c r="M74" s="10"/>
      <c r="N74" s="19"/>
      <c r="O74" s="10"/>
      <c r="P74" s="10"/>
      <c r="Q74" s="10"/>
      <c r="R74" s="19"/>
      <c r="S74" s="10"/>
    </row>
    <row r="75" customFormat="false" ht="15" hidden="false" customHeight="false" outlineLevel="0" collapsed="false">
      <c r="A75" s="18"/>
      <c r="B75" s="19"/>
      <c r="C75" s="10"/>
      <c r="D75" s="10"/>
      <c r="E75" s="10"/>
      <c r="F75" s="10"/>
      <c r="G75" s="10"/>
      <c r="H75" s="10"/>
      <c r="I75" s="10"/>
      <c r="J75" s="10"/>
      <c r="K75" s="10"/>
      <c r="L75" s="19"/>
      <c r="M75" s="10"/>
      <c r="N75" s="19"/>
      <c r="O75" s="10"/>
      <c r="P75" s="10"/>
      <c r="Q75" s="10"/>
      <c r="R75" s="19"/>
      <c r="S75" s="10"/>
    </row>
    <row r="76" customFormat="false" ht="15" hidden="false" customHeight="false" outlineLevel="0" collapsed="false">
      <c r="A76" s="18"/>
      <c r="B76" s="19"/>
      <c r="C76" s="10"/>
      <c r="D76" s="10"/>
      <c r="E76" s="10"/>
      <c r="F76" s="10"/>
      <c r="G76" s="10"/>
      <c r="H76" s="10"/>
      <c r="I76" s="10"/>
      <c r="J76" s="10"/>
      <c r="K76" s="10"/>
      <c r="L76" s="19"/>
      <c r="M76" s="10"/>
      <c r="N76" s="19"/>
      <c r="O76" s="10"/>
      <c r="P76" s="10"/>
      <c r="Q76" s="10"/>
      <c r="R76" s="19"/>
      <c r="S76" s="10"/>
    </row>
    <row r="77" customFormat="false" ht="15" hidden="false" customHeight="false" outlineLevel="0" collapsed="false">
      <c r="A77" s="18"/>
      <c r="B77" s="19"/>
      <c r="C77" s="10"/>
      <c r="D77" s="10"/>
      <c r="E77" s="10"/>
      <c r="F77" s="10"/>
      <c r="G77" s="10"/>
      <c r="H77" s="10"/>
      <c r="I77" s="10"/>
      <c r="J77" s="10"/>
      <c r="K77" s="10"/>
      <c r="L77" s="19"/>
      <c r="M77" s="10"/>
      <c r="N77" s="19"/>
      <c r="O77" s="10"/>
      <c r="P77" s="10"/>
      <c r="Q77" s="10"/>
      <c r="R77" s="19"/>
      <c r="S77" s="10"/>
    </row>
    <row r="78" customFormat="false" ht="15" hidden="false" customHeight="false" outlineLevel="0" collapsed="false">
      <c r="A78" s="18"/>
      <c r="B78" s="19"/>
      <c r="C78" s="10"/>
      <c r="D78" s="10"/>
      <c r="E78" s="10"/>
      <c r="F78" s="10"/>
      <c r="G78" s="10"/>
      <c r="H78" s="10"/>
      <c r="I78" s="10"/>
      <c r="J78" s="10"/>
      <c r="K78" s="10"/>
      <c r="L78" s="19"/>
      <c r="M78" s="10"/>
      <c r="N78" s="19"/>
      <c r="O78" s="10"/>
      <c r="P78" s="10"/>
      <c r="Q78" s="10"/>
      <c r="R78" s="19"/>
      <c r="S78" s="10"/>
    </row>
    <row r="79" customFormat="false" ht="15" hidden="false" customHeight="false" outlineLevel="0" collapsed="false">
      <c r="A79" s="18"/>
      <c r="B79" s="19"/>
      <c r="C79" s="10"/>
      <c r="D79" s="10"/>
      <c r="E79" s="10"/>
      <c r="F79" s="10"/>
      <c r="G79" s="10"/>
      <c r="H79" s="10"/>
      <c r="I79" s="10"/>
      <c r="J79" s="10"/>
      <c r="K79" s="10"/>
      <c r="L79" s="19"/>
      <c r="M79" s="10"/>
      <c r="N79" s="19"/>
      <c r="O79" s="10"/>
      <c r="P79" s="10"/>
      <c r="Q79" s="10"/>
      <c r="R79" s="19"/>
      <c r="S79" s="10"/>
    </row>
    <row r="80" customFormat="false" ht="15" hidden="false" customHeight="false" outlineLevel="0" collapsed="false">
      <c r="A80" s="18"/>
      <c r="B80" s="19"/>
      <c r="C80" s="10"/>
      <c r="D80" s="10"/>
      <c r="E80" s="10"/>
      <c r="F80" s="10"/>
      <c r="G80" s="10"/>
      <c r="H80" s="10"/>
      <c r="I80" s="10"/>
      <c r="J80" s="10"/>
      <c r="K80" s="10"/>
      <c r="L80" s="19"/>
      <c r="M80" s="10"/>
      <c r="N80" s="19"/>
      <c r="O80" s="10"/>
      <c r="P80" s="10"/>
      <c r="Q80" s="10"/>
      <c r="R80" s="19"/>
      <c r="S80" s="10"/>
    </row>
    <row r="81" customFormat="false" ht="15" hidden="false" customHeight="false" outlineLevel="0" collapsed="false">
      <c r="A81" s="18"/>
      <c r="B81" s="19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10"/>
      <c r="N81" s="19"/>
      <c r="O81" s="10"/>
      <c r="P81" s="10"/>
      <c r="Q81" s="10"/>
      <c r="R81" s="19"/>
      <c r="S81" s="10"/>
    </row>
    <row r="82" customFormat="false" ht="15" hidden="false" customHeight="false" outlineLevel="0" collapsed="false">
      <c r="A82" s="18"/>
      <c r="B82" s="19"/>
      <c r="C82" s="10"/>
      <c r="D82" s="10"/>
      <c r="E82" s="10"/>
      <c r="F82" s="10"/>
      <c r="G82" s="10"/>
      <c r="H82" s="10"/>
      <c r="I82" s="10"/>
      <c r="J82" s="10"/>
      <c r="K82" s="10"/>
      <c r="L82" s="19"/>
      <c r="M82" s="10"/>
      <c r="N82" s="19"/>
      <c r="O82" s="10"/>
      <c r="P82" s="10"/>
      <c r="Q82" s="10"/>
      <c r="R82" s="19"/>
      <c r="S82" s="10"/>
    </row>
    <row r="83" customFormat="false" ht="15" hidden="false" customHeight="false" outlineLevel="0" collapsed="false">
      <c r="A83" s="18"/>
      <c r="B83" s="19"/>
      <c r="C83" s="10"/>
      <c r="D83" s="10"/>
      <c r="E83" s="10"/>
      <c r="F83" s="10"/>
      <c r="G83" s="10"/>
      <c r="H83" s="10"/>
      <c r="I83" s="10"/>
      <c r="J83" s="10"/>
      <c r="K83" s="10"/>
      <c r="L83" s="19"/>
      <c r="M83" s="10"/>
      <c r="N83" s="19"/>
      <c r="O83" s="10"/>
      <c r="P83" s="10"/>
      <c r="Q83" s="10"/>
      <c r="R83" s="19"/>
      <c r="S83" s="10"/>
    </row>
    <row r="84" customFormat="false" ht="15" hidden="false" customHeight="false" outlineLevel="0" collapsed="false">
      <c r="A84" s="18"/>
      <c r="B84" s="19"/>
      <c r="C84" s="10"/>
      <c r="D84" s="10"/>
      <c r="E84" s="10"/>
      <c r="F84" s="10"/>
      <c r="G84" s="10"/>
      <c r="H84" s="10"/>
      <c r="I84" s="10"/>
      <c r="J84" s="10"/>
      <c r="K84" s="10"/>
      <c r="L84" s="19"/>
      <c r="M84" s="10"/>
      <c r="N84" s="19"/>
      <c r="O84" s="10"/>
      <c r="P84" s="10"/>
      <c r="Q84" s="10"/>
      <c r="R84" s="19"/>
      <c r="S84" s="10"/>
    </row>
    <row r="85" customFormat="false" ht="15" hidden="false" customHeight="false" outlineLevel="0" collapsed="false">
      <c r="A85" s="18"/>
      <c r="B85" s="19"/>
      <c r="C85" s="10"/>
      <c r="D85" s="10"/>
      <c r="E85" s="10"/>
      <c r="F85" s="10"/>
      <c r="G85" s="10"/>
      <c r="H85" s="10"/>
      <c r="I85" s="10"/>
      <c r="J85" s="10"/>
      <c r="K85" s="10"/>
      <c r="L85" s="19"/>
      <c r="M85" s="10"/>
      <c r="N85" s="19"/>
      <c r="O85" s="10"/>
      <c r="P85" s="10"/>
      <c r="Q85" s="10"/>
      <c r="R85" s="19"/>
      <c r="S85" s="10"/>
    </row>
    <row r="86" customFormat="false" ht="15" hidden="false" customHeight="false" outlineLevel="0" collapsed="false">
      <c r="A86" s="18"/>
      <c r="B86" s="19"/>
      <c r="C86" s="10"/>
      <c r="D86" s="10"/>
      <c r="E86" s="10"/>
      <c r="F86" s="10"/>
      <c r="G86" s="10"/>
      <c r="H86" s="10"/>
      <c r="I86" s="10"/>
      <c r="J86" s="10"/>
      <c r="K86" s="10"/>
      <c r="L86" s="19"/>
      <c r="M86" s="10"/>
      <c r="N86" s="19"/>
      <c r="O86" s="10"/>
      <c r="P86" s="10"/>
      <c r="Q86" s="10"/>
      <c r="R86" s="19"/>
      <c r="S86" s="10"/>
    </row>
    <row r="87" customFormat="false" ht="15" hidden="false" customHeight="false" outlineLevel="0" collapsed="false">
      <c r="A87" s="18"/>
      <c r="B87" s="19"/>
      <c r="C87" s="10"/>
      <c r="D87" s="10"/>
      <c r="E87" s="10"/>
      <c r="F87" s="10"/>
      <c r="G87" s="10"/>
      <c r="H87" s="10"/>
      <c r="I87" s="10"/>
      <c r="J87" s="10"/>
      <c r="K87" s="10"/>
      <c r="L87" s="19"/>
      <c r="M87" s="10"/>
      <c r="N87" s="19"/>
      <c r="O87" s="10"/>
      <c r="P87" s="10"/>
      <c r="Q87" s="10"/>
      <c r="R87" s="19"/>
      <c r="S87" s="10"/>
    </row>
    <row r="88" customFormat="false" ht="15" hidden="false" customHeight="false" outlineLevel="0" collapsed="false">
      <c r="A88" s="18"/>
      <c r="B88" s="19"/>
      <c r="C88" s="10"/>
      <c r="D88" s="10"/>
      <c r="E88" s="10"/>
      <c r="F88" s="10"/>
      <c r="G88" s="10"/>
      <c r="H88" s="10"/>
      <c r="I88" s="10"/>
      <c r="J88" s="10"/>
      <c r="K88" s="10"/>
      <c r="L88" s="19"/>
      <c r="M88" s="10"/>
      <c r="N88" s="19"/>
      <c r="O88" s="10"/>
      <c r="P88" s="10"/>
      <c r="Q88" s="10"/>
      <c r="R88" s="19"/>
      <c r="S88" s="10"/>
    </row>
    <row r="89" customFormat="false" ht="15" hidden="false" customHeight="false" outlineLevel="0" collapsed="false">
      <c r="A89" s="18"/>
      <c r="B89" s="19"/>
      <c r="C89" s="10"/>
      <c r="D89" s="10"/>
      <c r="E89" s="10"/>
      <c r="F89" s="10"/>
      <c r="G89" s="10"/>
      <c r="H89" s="10"/>
      <c r="I89" s="10"/>
      <c r="J89" s="10"/>
      <c r="K89" s="10"/>
      <c r="L89" s="19"/>
      <c r="M89" s="10"/>
      <c r="N89" s="19"/>
      <c r="O89" s="10"/>
      <c r="P89" s="10"/>
      <c r="Q89" s="10"/>
      <c r="R89" s="19"/>
      <c r="S89" s="10"/>
    </row>
    <row r="90" customFormat="false" ht="15" hidden="false" customHeight="false" outlineLevel="0" collapsed="false">
      <c r="A90" s="18"/>
      <c r="B90" s="19"/>
      <c r="C90" s="10"/>
      <c r="D90" s="10"/>
      <c r="E90" s="10"/>
      <c r="F90" s="10"/>
      <c r="G90" s="10"/>
      <c r="H90" s="10"/>
      <c r="I90" s="10"/>
      <c r="J90" s="10"/>
      <c r="K90" s="10"/>
      <c r="L90" s="19"/>
      <c r="M90" s="10"/>
      <c r="N90" s="19"/>
      <c r="O90" s="10"/>
      <c r="P90" s="10"/>
      <c r="Q90" s="10"/>
      <c r="R90" s="19"/>
      <c r="S90" s="10"/>
    </row>
    <row r="91" customFormat="false" ht="15" hidden="false" customHeight="false" outlineLevel="0" collapsed="false">
      <c r="A91" s="18"/>
      <c r="B91" s="19"/>
      <c r="C91" s="10"/>
      <c r="D91" s="10"/>
      <c r="E91" s="10"/>
      <c r="F91" s="10"/>
      <c r="G91" s="10"/>
      <c r="H91" s="10"/>
      <c r="I91" s="10"/>
      <c r="J91" s="10"/>
      <c r="K91" s="10"/>
      <c r="L91" s="19"/>
      <c r="M91" s="10"/>
      <c r="N91" s="19"/>
      <c r="O91" s="10"/>
      <c r="P91" s="10"/>
      <c r="Q91" s="10"/>
      <c r="R91" s="19"/>
      <c r="S91" s="10"/>
    </row>
    <row r="92" customFormat="false" ht="15" hidden="false" customHeight="false" outlineLevel="0" collapsed="false">
      <c r="A92" s="18"/>
      <c r="B92" s="19"/>
      <c r="C92" s="10"/>
      <c r="D92" s="10"/>
      <c r="E92" s="10"/>
      <c r="F92" s="10"/>
      <c r="G92" s="10"/>
      <c r="H92" s="10"/>
      <c r="I92" s="10"/>
      <c r="J92" s="10"/>
      <c r="K92" s="10"/>
      <c r="L92" s="19"/>
      <c r="M92" s="10"/>
      <c r="N92" s="19"/>
      <c r="O92" s="10"/>
      <c r="P92" s="10"/>
      <c r="Q92" s="10"/>
      <c r="R92" s="19"/>
      <c r="S92" s="10"/>
    </row>
    <row r="93" customFormat="false" ht="15" hidden="false" customHeight="false" outlineLevel="0" collapsed="false">
      <c r="A93" s="18"/>
      <c r="B93" s="19"/>
      <c r="C93" s="10"/>
      <c r="D93" s="10"/>
      <c r="E93" s="10"/>
      <c r="F93" s="10"/>
      <c r="G93" s="10"/>
      <c r="H93" s="10"/>
      <c r="I93" s="10"/>
      <c r="J93" s="10"/>
      <c r="K93" s="10"/>
      <c r="L93" s="19"/>
      <c r="M93" s="10"/>
      <c r="N93" s="19"/>
      <c r="O93" s="10"/>
      <c r="P93" s="10"/>
      <c r="Q93" s="10"/>
      <c r="R93" s="19"/>
      <c r="S93" s="10"/>
    </row>
    <row r="94" customFormat="false" ht="15" hidden="false" customHeight="false" outlineLevel="0" collapsed="false">
      <c r="A94" s="18"/>
      <c r="B94" s="19"/>
      <c r="C94" s="10"/>
      <c r="D94" s="10"/>
      <c r="E94" s="10"/>
      <c r="F94" s="10"/>
      <c r="G94" s="10"/>
      <c r="H94" s="10"/>
      <c r="I94" s="10"/>
      <c r="J94" s="10"/>
      <c r="K94" s="10"/>
      <c r="L94" s="19"/>
      <c r="M94" s="10"/>
      <c r="N94" s="19"/>
      <c r="O94" s="10"/>
      <c r="P94" s="10"/>
      <c r="Q94" s="10"/>
      <c r="R94" s="19"/>
      <c r="S94" s="10"/>
    </row>
    <row r="95" customFormat="false" ht="15" hidden="false" customHeight="false" outlineLevel="0" collapsed="false">
      <c r="A95" s="18"/>
      <c r="B95" s="19"/>
      <c r="C95" s="10"/>
      <c r="D95" s="10"/>
      <c r="E95" s="10"/>
      <c r="F95" s="10"/>
      <c r="G95" s="10"/>
      <c r="H95" s="10"/>
      <c r="I95" s="10"/>
      <c r="J95" s="10"/>
      <c r="K95" s="10"/>
      <c r="L95" s="19"/>
      <c r="M95" s="10"/>
      <c r="N95" s="19"/>
      <c r="O95" s="10"/>
      <c r="P95" s="10"/>
      <c r="Q95" s="10"/>
      <c r="R95" s="19"/>
      <c r="S95" s="10"/>
    </row>
    <row r="96" customFormat="false" ht="15" hidden="false" customHeight="false" outlineLevel="0" collapsed="false">
      <c r="A96" s="18"/>
      <c r="B96" s="19"/>
      <c r="C96" s="10"/>
      <c r="D96" s="10"/>
      <c r="E96" s="10"/>
      <c r="F96" s="10"/>
      <c r="G96" s="10"/>
      <c r="H96" s="10"/>
      <c r="I96" s="10"/>
      <c r="J96" s="10"/>
      <c r="K96" s="10"/>
      <c r="L96" s="19"/>
      <c r="M96" s="10"/>
      <c r="N96" s="19"/>
      <c r="O96" s="10"/>
      <c r="P96" s="10"/>
      <c r="Q96" s="10"/>
      <c r="R96" s="19"/>
      <c r="S96" s="10"/>
    </row>
    <row r="97" customFormat="false" ht="15" hidden="false" customHeight="false" outlineLevel="0" collapsed="false">
      <c r="A97" s="18"/>
      <c r="B97" s="19"/>
      <c r="C97" s="10"/>
      <c r="D97" s="10"/>
      <c r="E97" s="10"/>
      <c r="F97" s="10"/>
      <c r="G97" s="10"/>
      <c r="H97" s="10"/>
      <c r="I97" s="10"/>
      <c r="J97" s="10"/>
      <c r="K97" s="10"/>
      <c r="L97" s="19"/>
      <c r="M97" s="10"/>
      <c r="N97" s="19"/>
      <c r="O97" s="10"/>
      <c r="P97" s="10"/>
      <c r="Q97" s="10"/>
      <c r="R97" s="19"/>
      <c r="S97" s="10"/>
    </row>
    <row r="98" customFormat="false" ht="15" hidden="false" customHeight="false" outlineLevel="0" collapsed="false">
      <c r="A98" s="18"/>
      <c r="B98" s="19"/>
      <c r="C98" s="10"/>
      <c r="D98" s="10"/>
      <c r="E98" s="10"/>
      <c r="F98" s="10"/>
      <c r="G98" s="10"/>
      <c r="H98" s="10"/>
      <c r="I98" s="10"/>
      <c r="J98" s="10"/>
      <c r="K98" s="10"/>
      <c r="L98" s="19"/>
      <c r="M98" s="10"/>
      <c r="N98" s="19"/>
      <c r="O98" s="10"/>
      <c r="P98" s="10"/>
      <c r="Q98" s="10"/>
      <c r="R98" s="19"/>
      <c r="S98" s="10"/>
    </row>
    <row r="99" customFormat="false" ht="15" hidden="false" customHeight="false" outlineLevel="0" collapsed="false">
      <c r="A99" s="18"/>
      <c r="B99" s="19"/>
      <c r="C99" s="10"/>
      <c r="D99" s="10"/>
      <c r="E99" s="10"/>
      <c r="F99" s="10"/>
      <c r="G99" s="10"/>
      <c r="H99" s="10"/>
      <c r="I99" s="10"/>
      <c r="J99" s="10"/>
      <c r="K99" s="10"/>
      <c r="L99" s="19"/>
      <c r="M99" s="10"/>
      <c r="N99" s="19"/>
      <c r="O99" s="10"/>
      <c r="P99" s="10"/>
      <c r="Q99" s="10"/>
      <c r="R99" s="19"/>
      <c r="S99" s="10"/>
    </row>
    <row r="100" customFormat="false" ht="15" hidden="false" customHeight="false" outlineLevel="0" collapsed="false">
      <c r="A100" s="18"/>
      <c r="B100" s="19"/>
      <c r="C100" s="10"/>
      <c r="D100" s="10"/>
      <c r="E100" s="10"/>
      <c r="F100" s="10"/>
      <c r="G100" s="10"/>
      <c r="H100" s="10"/>
      <c r="I100" s="10"/>
      <c r="J100" s="10"/>
      <c r="K100" s="10"/>
      <c r="L100" s="19"/>
      <c r="M100" s="10"/>
      <c r="N100" s="19"/>
      <c r="O100" s="10"/>
      <c r="P100" s="10"/>
      <c r="Q100" s="10"/>
      <c r="R100" s="19"/>
      <c r="S100" s="10"/>
    </row>
    <row r="101" customFormat="false" ht="15" hidden="false" customHeight="false" outlineLevel="0" collapsed="false">
      <c r="A101" s="18"/>
      <c r="B101" s="19"/>
      <c r="C101" s="10"/>
      <c r="D101" s="10"/>
      <c r="E101" s="10"/>
      <c r="F101" s="10"/>
      <c r="G101" s="10"/>
      <c r="H101" s="10"/>
      <c r="I101" s="10"/>
      <c r="J101" s="10"/>
      <c r="K101" s="10"/>
      <c r="L101" s="19"/>
      <c r="M101" s="10"/>
      <c r="N101" s="19"/>
      <c r="O101" s="10"/>
      <c r="P101" s="10"/>
      <c r="Q101" s="10"/>
      <c r="R101" s="19"/>
      <c r="S101" s="10"/>
    </row>
    <row r="102" customFormat="false" ht="15" hidden="false" customHeight="false" outlineLevel="0" collapsed="false">
      <c r="A102" s="18"/>
      <c r="B102" s="19"/>
      <c r="C102" s="10"/>
      <c r="D102" s="10"/>
      <c r="E102" s="10"/>
      <c r="F102" s="10"/>
      <c r="G102" s="10"/>
      <c r="H102" s="10"/>
      <c r="I102" s="10"/>
      <c r="J102" s="10"/>
      <c r="K102" s="10"/>
      <c r="L102" s="19"/>
      <c r="M102" s="10"/>
      <c r="N102" s="19"/>
      <c r="O102" s="10"/>
      <c r="P102" s="10"/>
      <c r="Q102" s="10"/>
      <c r="R102" s="19"/>
      <c r="S102" s="10"/>
    </row>
    <row r="103" customFormat="false" ht="15" hidden="false" customHeight="false" outlineLevel="0" collapsed="false">
      <c r="A103" s="18"/>
      <c r="B103" s="19"/>
      <c r="C103" s="10"/>
      <c r="D103" s="10"/>
      <c r="E103" s="10"/>
      <c r="F103" s="10"/>
      <c r="G103" s="10"/>
      <c r="H103" s="10"/>
      <c r="I103" s="10"/>
      <c r="J103" s="10"/>
      <c r="K103" s="10"/>
      <c r="L103" s="19"/>
      <c r="M103" s="10"/>
      <c r="N103" s="19"/>
      <c r="O103" s="10"/>
      <c r="P103" s="10"/>
      <c r="Q103" s="10"/>
      <c r="R103" s="19"/>
      <c r="S103" s="10"/>
    </row>
    <row r="104" customFormat="false" ht="15" hidden="false" customHeight="false" outlineLevel="0" collapsed="false">
      <c r="A104" s="18"/>
      <c r="B104" s="19"/>
      <c r="C104" s="10"/>
      <c r="D104" s="10"/>
      <c r="E104" s="10"/>
      <c r="F104" s="10"/>
      <c r="G104" s="10"/>
      <c r="H104" s="10"/>
      <c r="I104" s="10"/>
      <c r="J104" s="10"/>
      <c r="K104" s="10"/>
      <c r="L104" s="19"/>
      <c r="M104" s="10"/>
      <c r="N104" s="19"/>
      <c r="O104" s="10"/>
      <c r="P104" s="10"/>
      <c r="Q104" s="10"/>
      <c r="R104" s="19"/>
      <c r="S104" s="10"/>
    </row>
    <row r="105" customFormat="false" ht="15" hidden="false" customHeight="false" outlineLevel="0" collapsed="false">
      <c r="A105" s="18"/>
      <c r="B105" s="19"/>
      <c r="C105" s="10"/>
      <c r="D105" s="10"/>
      <c r="E105" s="10"/>
      <c r="F105" s="10"/>
      <c r="G105" s="10"/>
      <c r="H105" s="10"/>
      <c r="I105" s="10"/>
      <c r="J105" s="10"/>
      <c r="K105" s="10"/>
      <c r="L105" s="19"/>
      <c r="M105" s="10"/>
      <c r="N105" s="19"/>
      <c r="O105" s="10"/>
      <c r="P105" s="10"/>
      <c r="Q105" s="10"/>
      <c r="R105" s="19"/>
      <c r="S105" s="10"/>
    </row>
    <row r="106" customFormat="false" ht="15" hidden="false" customHeight="false" outlineLevel="0" collapsed="false">
      <c r="A106" s="18"/>
      <c r="B106" s="19"/>
      <c r="C106" s="10"/>
      <c r="D106" s="10"/>
      <c r="E106" s="10"/>
      <c r="F106" s="10"/>
      <c r="G106" s="10"/>
      <c r="H106" s="10"/>
      <c r="I106" s="10"/>
      <c r="J106" s="10"/>
      <c r="K106" s="10"/>
      <c r="L106" s="19"/>
      <c r="M106" s="10"/>
      <c r="N106" s="19"/>
      <c r="O106" s="10"/>
      <c r="P106" s="10"/>
      <c r="Q106" s="10"/>
      <c r="R106" s="19"/>
      <c r="S106" s="10"/>
    </row>
    <row r="107" customFormat="false" ht="15" hidden="false" customHeight="false" outlineLevel="0" collapsed="false">
      <c r="A107" s="18"/>
      <c r="B107" s="19"/>
      <c r="C107" s="10"/>
      <c r="D107" s="10"/>
      <c r="E107" s="10"/>
      <c r="F107" s="10"/>
      <c r="G107" s="10"/>
      <c r="H107" s="10"/>
      <c r="I107" s="10"/>
      <c r="J107" s="10"/>
      <c r="K107" s="10"/>
      <c r="L107" s="19"/>
      <c r="M107" s="10"/>
      <c r="N107" s="19"/>
      <c r="O107" s="10"/>
      <c r="P107" s="10"/>
      <c r="Q107" s="10"/>
      <c r="R107" s="19"/>
      <c r="S107" s="10"/>
    </row>
    <row r="108" customFormat="false" ht="15" hidden="false" customHeight="false" outlineLevel="0" collapsed="false">
      <c r="A108" s="18"/>
      <c r="B108" s="19"/>
      <c r="C108" s="10"/>
      <c r="D108" s="10"/>
      <c r="E108" s="10"/>
      <c r="F108" s="10"/>
      <c r="G108" s="10"/>
      <c r="H108" s="10"/>
      <c r="I108" s="10"/>
      <c r="J108" s="10"/>
      <c r="K108" s="10"/>
      <c r="L108" s="19"/>
      <c r="M108" s="10"/>
      <c r="N108" s="19"/>
      <c r="O108" s="10"/>
      <c r="P108" s="10"/>
      <c r="Q108" s="10"/>
      <c r="R108" s="19"/>
      <c r="S108" s="10"/>
    </row>
    <row r="109" customFormat="false" ht="15" hidden="false" customHeight="false" outlineLevel="0" collapsed="false">
      <c r="A109" s="18"/>
      <c r="B109" s="19"/>
      <c r="C109" s="10"/>
      <c r="D109" s="10"/>
      <c r="E109" s="10"/>
      <c r="F109" s="10"/>
      <c r="G109" s="10"/>
      <c r="H109" s="10"/>
      <c r="I109" s="10"/>
      <c r="J109" s="10"/>
      <c r="K109" s="10"/>
      <c r="L109" s="19"/>
      <c r="M109" s="10"/>
      <c r="N109" s="19"/>
      <c r="O109" s="10"/>
      <c r="P109" s="10"/>
      <c r="Q109" s="10"/>
      <c r="R109" s="19"/>
      <c r="S109" s="10"/>
    </row>
    <row r="110" customFormat="false" ht="15" hidden="false" customHeight="false" outlineLevel="0" collapsed="false">
      <c r="A110" s="18"/>
      <c r="B110" s="19"/>
      <c r="C110" s="10"/>
      <c r="D110" s="10"/>
      <c r="E110" s="10"/>
      <c r="F110" s="10"/>
      <c r="G110" s="10"/>
      <c r="H110" s="10"/>
      <c r="I110" s="10"/>
      <c r="J110" s="10"/>
      <c r="K110" s="10"/>
      <c r="L110" s="19"/>
      <c r="M110" s="10"/>
      <c r="N110" s="19"/>
      <c r="O110" s="10"/>
      <c r="P110" s="10"/>
      <c r="Q110" s="10"/>
      <c r="R110" s="19"/>
      <c r="S110" s="10"/>
    </row>
    <row r="111" customFormat="false" ht="15" hidden="false" customHeight="false" outlineLevel="0" collapsed="false">
      <c r="A111" s="18"/>
      <c r="B111" s="19"/>
      <c r="C111" s="10"/>
      <c r="D111" s="10"/>
      <c r="E111" s="10"/>
      <c r="F111" s="10"/>
      <c r="G111" s="10"/>
      <c r="H111" s="10"/>
      <c r="I111" s="10"/>
      <c r="J111" s="10"/>
      <c r="K111" s="10"/>
      <c r="L111" s="19"/>
      <c r="M111" s="10"/>
      <c r="N111" s="19"/>
      <c r="O111" s="10"/>
      <c r="P111" s="10"/>
      <c r="Q111" s="10"/>
      <c r="R111" s="19"/>
      <c r="S111" s="10"/>
    </row>
    <row r="112" customFormat="false" ht="15" hidden="false" customHeight="false" outlineLevel="0" collapsed="false">
      <c r="A112" s="18"/>
      <c r="B112" s="19"/>
      <c r="C112" s="10"/>
      <c r="D112" s="10"/>
      <c r="E112" s="10"/>
      <c r="F112" s="10"/>
      <c r="G112" s="10"/>
      <c r="H112" s="10"/>
      <c r="I112" s="10"/>
      <c r="J112" s="10"/>
      <c r="K112" s="10"/>
      <c r="L112" s="19"/>
      <c r="M112" s="10"/>
      <c r="N112" s="19"/>
      <c r="O112" s="10"/>
      <c r="P112" s="10"/>
      <c r="Q112" s="10"/>
      <c r="R112" s="19"/>
      <c r="S112" s="10"/>
    </row>
    <row r="113" customFormat="false" ht="15" hidden="false" customHeight="false" outlineLevel="0" collapsed="false">
      <c r="A113" s="18"/>
      <c r="B113" s="19"/>
      <c r="C113" s="10"/>
      <c r="D113" s="10"/>
      <c r="E113" s="10"/>
      <c r="F113" s="10"/>
      <c r="G113" s="10"/>
      <c r="H113" s="10"/>
      <c r="I113" s="10"/>
      <c r="J113" s="10"/>
      <c r="K113" s="10"/>
      <c r="L113" s="19"/>
      <c r="M113" s="10"/>
      <c r="N113" s="19"/>
      <c r="O113" s="10"/>
      <c r="P113" s="10"/>
      <c r="Q113" s="10"/>
      <c r="R113" s="19"/>
      <c r="S113" s="10"/>
    </row>
    <row r="114" customFormat="false" ht="15" hidden="false" customHeight="false" outlineLevel="0" collapsed="false">
      <c r="A114" s="18"/>
      <c r="B114" s="19"/>
      <c r="C114" s="10"/>
      <c r="D114" s="10"/>
      <c r="E114" s="10"/>
      <c r="F114" s="10"/>
      <c r="G114" s="10"/>
      <c r="H114" s="10"/>
      <c r="I114" s="10"/>
      <c r="J114" s="10"/>
      <c r="K114" s="10"/>
      <c r="L114" s="19"/>
      <c r="M114" s="10"/>
      <c r="N114" s="19"/>
      <c r="O114" s="10"/>
      <c r="P114" s="10"/>
      <c r="Q114" s="10"/>
      <c r="R114" s="19"/>
      <c r="S114" s="10"/>
    </row>
    <row r="115" customFormat="false" ht="15" hidden="false" customHeight="false" outlineLevel="0" collapsed="false">
      <c r="A115" s="18"/>
      <c r="B115" s="19"/>
      <c r="C115" s="10"/>
      <c r="D115" s="10"/>
      <c r="E115" s="10"/>
      <c r="F115" s="10"/>
      <c r="G115" s="10"/>
      <c r="H115" s="10"/>
      <c r="I115" s="10"/>
      <c r="J115" s="10"/>
      <c r="K115" s="10"/>
      <c r="L115" s="19"/>
      <c r="M115" s="10"/>
      <c r="N115" s="19"/>
      <c r="O115" s="10"/>
      <c r="P115" s="10"/>
      <c r="Q115" s="10"/>
      <c r="R115" s="19"/>
      <c r="S115" s="10"/>
    </row>
    <row r="116" customFormat="false" ht="15" hidden="false" customHeight="false" outlineLevel="0" collapsed="false">
      <c r="A116" s="18"/>
      <c r="B116" s="19"/>
      <c r="C116" s="10"/>
      <c r="D116" s="10"/>
      <c r="E116" s="10"/>
      <c r="F116" s="10"/>
      <c r="G116" s="10"/>
      <c r="H116" s="10"/>
      <c r="I116" s="10"/>
      <c r="J116" s="10"/>
      <c r="K116" s="10"/>
      <c r="L116" s="19"/>
      <c r="M116" s="10"/>
      <c r="N116" s="19"/>
      <c r="O116" s="10"/>
      <c r="P116" s="10"/>
      <c r="Q116" s="10"/>
      <c r="R116" s="19"/>
      <c r="S116" s="10"/>
    </row>
    <row r="117" customFormat="false" ht="15" hidden="false" customHeight="false" outlineLevel="0" collapsed="false">
      <c r="A117" s="18"/>
      <c r="B117" s="19"/>
      <c r="C117" s="10"/>
      <c r="D117" s="10"/>
      <c r="E117" s="10"/>
      <c r="F117" s="10"/>
      <c r="G117" s="10"/>
      <c r="H117" s="10"/>
      <c r="I117" s="10"/>
      <c r="J117" s="10"/>
      <c r="K117" s="10"/>
      <c r="L117" s="19"/>
      <c r="M117" s="10"/>
      <c r="N117" s="19"/>
      <c r="O117" s="10"/>
      <c r="P117" s="10"/>
      <c r="Q117" s="10"/>
      <c r="R117" s="19"/>
      <c r="S117" s="10"/>
    </row>
    <row r="118" customFormat="false" ht="15" hidden="false" customHeight="false" outlineLevel="0" collapsed="false">
      <c r="A118" s="18"/>
      <c r="B118" s="19"/>
      <c r="C118" s="10"/>
      <c r="D118" s="10"/>
      <c r="E118" s="10"/>
      <c r="F118" s="10"/>
      <c r="G118" s="10"/>
      <c r="H118" s="10"/>
      <c r="I118" s="10"/>
      <c r="J118" s="10"/>
      <c r="K118" s="10"/>
      <c r="L118" s="19"/>
      <c r="M118" s="10"/>
      <c r="N118" s="19"/>
      <c r="O118" s="10"/>
      <c r="P118" s="10"/>
      <c r="Q118" s="10"/>
      <c r="R118" s="19"/>
      <c r="S118" s="10"/>
    </row>
    <row r="119" customFormat="false" ht="15" hidden="false" customHeight="false" outlineLevel="0" collapsed="false">
      <c r="A119" s="18"/>
      <c r="B119" s="19"/>
      <c r="C119" s="10"/>
      <c r="D119" s="10"/>
      <c r="E119" s="10"/>
      <c r="F119" s="10"/>
      <c r="G119" s="10"/>
      <c r="H119" s="10"/>
      <c r="I119" s="10"/>
      <c r="J119" s="10"/>
      <c r="K119" s="10"/>
      <c r="L119" s="19"/>
      <c r="M119" s="10"/>
      <c r="N119" s="19"/>
      <c r="O119" s="10"/>
      <c r="P119" s="10"/>
      <c r="Q119" s="10"/>
      <c r="R119" s="19"/>
      <c r="S119" s="10"/>
    </row>
    <row r="120" customFormat="false" ht="15" hidden="false" customHeight="false" outlineLevel="0" collapsed="false">
      <c r="A120" s="18"/>
      <c r="B120" s="19"/>
      <c r="C120" s="10"/>
      <c r="D120" s="10"/>
      <c r="E120" s="10"/>
      <c r="F120" s="10"/>
      <c r="G120" s="10"/>
      <c r="H120" s="10"/>
      <c r="I120" s="10"/>
      <c r="J120" s="10"/>
      <c r="K120" s="10"/>
      <c r="L120" s="19"/>
      <c r="M120" s="10"/>
      <c r="N120" s="19"/>
      <c r="O120" s="10"/>
      <c r="P120" s="10"/>
      <c r="Q120" s="10"/>
      <c r="R120" s="19"/>
      <c r="S120" s="10"/>
    </row>
    <row r="121" customFormat="false" ht="15" hidden="false" customHeight="false" outlineLevel="0" collapsed="false">
      <c r="A121" s="18"/>
      <c r="B121" s="19"/>
      <c r="C121" s="10"/>
      <c r="D121" s="10"/>
      <c r="E121" s="10"/>
      <c r="F121" s="10"/>
      <c r="G121" s="10"/>
      <c r="H121" s="10"/>
      <c r="I121" s="10"/>
      <c r="J121" s="10"/>
      <c r="K121" s="10"/>
      <c r="L121" s="19"/>
      <c r="M121" s="10"/>
      <c r="N121" s="19"/>
      <c r="O121" s="10"/>
      <c r="P121" s="10"/>
      <c r="Q121" s="10"/>
      <c r="R121" s="19"/>
      <c r="S121" s="10"/>
    </row>
    <row r="122" customFormat="false" ht="15" hidden="false" customHeight="false" outlineLevel="0" collapsed="false">
      <c r="A122" s="18"/>
      <c r="B122" s="19"/>
      <c r="C122" s="10"/>
      <c r="D122" s="10"/>
      <c r="E122" s="10"/>
      <c r="F122" s="10"/>
      <c r="G122" s="10"/>
      <c r="H122" s="10"/>
      <c r="I122" s="10"/>
      <c r="J122" s="10"/>
      <c r="K122" s="10"/>
      <c r="L122" s="19"/>
      <c r="M122" s="10"/>
      <c r="N122" s="19"/>
      <c r="O122" s="10"/>
      <c r="P122" s="10"/>
      <c r="Q122" s="10"/>
      <c r="R122" s="19"/>
      <c r="S122" s="10"/>
    </row>
    <row r="123" customFormat="false" ht="15" hidden="false" customHeight="false" outlineLevel="0" collapsed="false">
      <c r="A123" s="18"/>
      <c r="B123" s="19"/>
      <c r="C123" s="10"/>
      <c r="D123" s="10"/>
      <c r="E123" s="10"/>
      <c r="F123" s="10"/>
      <c r="G123" s="10"/>
      <c r="H123" s="10"/>
      <c r="I123" s="10"/>
      <c r="J123" s="10"/>
      <c r="K123" s="10"/>
      <c r="L123" s="19"/>
      <c r="M123" s="10"/>
      <c r="N123" s="19"/>
      <c r="O123" s="10"/>
      <c r="P123" s="10"/>
      <c r="Q123" s="10"/>
      <c r="R123" s="19"/>
      <c r="S123" s="10"/>
    </row>
    <row r="124" customFormat="false" ht="15" hidden="false" customHeight="false" outlineLevel="0" collapsed="false">
      <c r="A124" s="18"/>
      <c r="B124" s="19"/>
      <c r="C124" s="10"/>
      <c r="D124" s="10"/>
      <c r="E124" s="10"/>
      <c r="F124" s="10"/>
      <c r="G124" s="10"/>
      <c r="H124" s="10"/>
      <c r="I124" s="10"/>
      <c r="J124" s="10"/>
      <c r="K124" s="10"/>
      <c r="L124" s="19"/>
      <c r="M124" s="10"/>
      <c r="N124" s="19"/>
      <c r="O124" s="10"/>
      <c r="P124" s="10"/>
      <c r="Q124" s="10"/>
      <c r="R124" s="19"/>
      <c r="S124" s="10"/>
    </row>
    <row r="125" customFormat="false" ht="15" hidden="false" customHeight="false" outlineLevel="0" collapsed="false">
      <c r="A125" s="18"/>
      <c r="B125" s="19"/>
      <c r="C125" s="10"/>
      <c r="D125" s="10"/>
      <c r="E125" s="10"/>
      <c r="F125" s="10"/>
      <c r="G125" s="10"/>
      <c r="H125" s="10"/>
      <c r="I125" s="10"/>
      <c r="J125" s="10"/>
      <c r="K125" s="10"/>
      <c r="L125" s="19"/>
      <c r="M125" s="10"/>
      <c r="N125" s="19"/>
      <c r="O125" s="10"/>
      <c r="P125" s="10"/>
      <c r="Q125" s="10"/>
      <c r="R125" s="19"/>
      <c r="S125" s="10"/>
    </row>
    <row r="126" customFormat="false" ht="15" hidden="false" customHeight="false" outlineLevel="0" collapsed="false">
      <c r="A126" s="18"/>
      <c r="B126" s="19"/>
      <c r="C126" s="10"/>
      <c r="D126" s="10"/>
      <c r="E126" s="10"/>
      <c r="F126" s="10"/>
      <c r="G126" s="10"/>
      <c r="H126" s="10"/>
      <c r="I126" s="10"/>
      <c r="J126" s="10"/>
      <c r="K126" s="10"/>
      <c r="L126" s="19"/>
      <c r="M126" s="10"/>
      <c r="N126" s="19"/>
      <c r="O126" s="10"/>
      <c r="P126" s="10"/>
      <c r="Q126" s="10"/>
      <c r="R126" s="19"/>
      <c r="S126" s="10"/>
    </row>
    <row r="127" customFormat="false" ht="15" hidden="false" customHeight="false" outlineLevel="0" collapsed="false">
      <c r="A127" s="18"/>
      <c r="B127" s="19"/>
      <c r="C127" s="10"/>
      <c r="D127" s="10"/>
      <c r="E127" s="10"/>
      <c r="F127" s="10"/>
      <c r="G127" s="10"/>
      <c r="H127" s="10"/>
      <c r="I127" s="10"/>
      <c r="J127" s="10"/>
      <c r="K127" s="10"/>
      <c r="L127" s="19"/>
      <c r="M127" s="10"/>
      <c r="N127" s="19"/>
      <c r="O127" s="10"/>
      <c r="P127" s="10"/>
      <c r="Q127" s="10"/>
      <c r="R127" s="19"/>
      <c r="S127" s="10"/>
    </row>
    <row r="128" customFormat="false" ht="15" hidden="false" customHeight="false" outlineLevel="0" collapsed="false">
      <c r="A128" s="18"/>
      <c r="B128" s="19"/>
      <c r="C128" s="10"/>
      <c r="D128" s="10"/>
      <c r="E128" s="10"/>
      <c r="F128" s="10"/>
      <c r="G128" s="10"/>
      <c r="H128" s="10"/>
      <c r="I128" s="10"/>
      <c r="J128" s="10"/>
      <c r="K128" s="10"/>
      <c r="L128" s="19"/>
      <c r="M128" s="10"/>
      <c r="N128" s="19"/>
      <c r="O128" s="10"/>
      <c r="P128" s="10"/>
      <c r="Q128" s="10"/>
      <c r="R128" s="19"/>
      <c r="S128" s="10"/>
    </row>
    <row r="129" customFormat="false" ht="15" hidden="false" customHeight="false" outlineLevel="0" collapsed="false">
      <c r="A129" s="18"/>
      <c r="B129" s="19"/>
      <c r="C129" s="10"/>
      <c r="D129" s="10"/>
      <c r="E129" s="10"/>
      <c r="F129" s="10"/>
      <c r="G129" s="10"/>
      <c r="H129" s="10"/>
      <c r="I129" s="10"/>
      <c r="J129" s="10"/>
      <c r="K129" s="10"/>
      <c r="L129" s="19"/>
      <c r="M129" s="10"/>
      <c r="N129" s="19"/>
      <c r="O129" s="10"/>
      <c r="P129" s="10"/>
      <c r="Q129" s="10"/>
      <c r="R129" s="19"/>
      <c r="S129" s="10"/>
    </row>
    <row r="130" customFormat="false" ht="15" hidden="false" customHeight="false" outlineLevel="0" collapsed="false">
      <c r="A130" s="18"/>
      <c r="B130" s="19"/>
      <c r="C130" s="10"/>
      <c r="D130" s="10"/>
      <c r="E130" s="10"/>
      <c r="F130" s="10"/>
      <c r="G130" s="10"/>
      <c r="H130" s="10"/>
      <c r="I130" s="10"/>
      <c r="J130" s="10"/>
      <c r="K130" s="10"/>
      <c r="L130" s="19"/>
      <c r="M130" s="10"/>
      <c r="N130" s="19"/>
      <c r="O130" s="10"/>
      <c r="P130" s="10"/>
      <c r="Q130" s="10"/>
      <c r="R130" s="19"/>
      <c r="S130" s="10"/>
    </row>
    <row r="131" customFormat="false" ht="15" hidden="false" customHeight="false" outlineLevel="0" collapsed="false">
      <c r="A131" s="18"/>
      <c r="B131" s="19"/>
      <c r="C131" s="10"/>
      <c r="D131" s="10"/>
      <c r="E131" s="10"/>
      <c r="F131" s="10"/>
      <c r="G131" s="10"/>
      <c r="H131" s="10"/>
      <c r="I131" s="10"/>
      <c r="J131" s="10"/>
      <c r="K131" s="10"/>
      <c r="L131" s="19"/>
      <c r="M131" s="10"/>
      <c r="N131" s="19"/>
      <c r="O131" s="10"/>
      <c r="P131" s="10"/>
      <c r="Q131" s="10"/>
      <c r="R131" s="19"/>
      <c r="S131" s="10"/>
    </row>
    <row r="132" customFormat="false" ht="15" hidden="false" customHeight="false" outlineLevel="0" collapsed="false">
      <c r="A132" s="18"/>
      <c r="B132" s="19"/>
      <c r="C132" s="10"/>
      <c r="D132" s="10"/>
      <c r="E132" s="10"/>
      <c r="F132" s="10"/>
      <c r="G132" s="10"/>
      <c r="H132" s="10"/>
      <c r="I132" s="10"/>
      <c r="J132" s="10"/>
      <c r="K132" s="10"/>
      <c r="L132" s="19"/>
      <c r="M132" s="10"/>
      <c r="N132" s="19"/>
      <c r="O132" s="10"/>
      <c r="P132" s="10"/>
      <c r="Q132" s="10"/>
      <c r="R132" s="19"/>
      <c r="S132" s="10"/>
    </row>
    <row r="133" customFormat="false" ht="15" hidden="false" customHeight="false" outlineLevel="0" collapsed="false">
      <c r="A133" s="18"/>
      <c r="B133" s="19"/>
      <c r="C133" s="10"/>
      <c r="D133" s="10"/>
      <c r="E133" s="10"/>
      <c r="F133" s="10"/>
      <c r="G133" s="10"/>
      <c r="H133" s="10"/>
      <c r="I133" s="10"/>
      <c r="J133" s="10"/>
      <c r="K133" s="10"/>
      <c r="L133" s="19"/>
      <c r="M133" s="10"/>
      <c r="N133" s="19"/>
      <c r="O133" s="10"/>
      <c r="P133" s="10"/>
      <c r="Q133" s="10"/>
      <c r="R133" s="19"/>
      <c r="S133" s="10"/>
    </row>
    <row r="134" customFormat="false" ht="15" hidden="false" customHeight="false" outlineLevel="0" collapsed="false">
      <c r="A134" s="18"/>
      <c r="B134" s="19"/>
      <c r="C134" s="10"/>
      <c r="D134" s="10"/>
      <c r="E134" s="10"/>
      <c r="F134" s="10"/>
      <c r="G134" s="10"/>
      <c r="H134" s="10"/>
      <c r="I134" s="10"/>
      <c r="J134" s="10"/>
      <c r="K134" s="10"/>
      <c r="L134" s="19"/>
      <c r="M134" s="10"/>
      <c r="N134" s="19"/>
      <c r="O134" s="10"/>
      <c r="P134" s="10"/>
      <c r="Q134" s="10"/>
      <c r="R134" s="19"/>
      <c r="S134" s="10"/>
    </row>
    <row r="135" customFormat="false" ht="15" hidden="false" customHeight="false" outlineLevel="0" collapsed="false">
      <c r="A135" s="18"/>
      <c r="B135" s="19"/>
      <c r="C135" s="10"/>
      <c r="D135" s="10"/>
      <c r="E135" s="10"/>
      <c r="F135" s="10"/>
      <c r="G135" s="10"/>
      <c r="H135" s="10"/>
      <c r="I135" s="10"/>
      <c r="J135" s="10"/>
      <c r="K135" s="10"/>
      <c r="L135" s="19"/>
      <c r="M135" s="10"/>
      <c r="N135" s="19"/>
      <c r="O135" s="10"/>
      <c r="P135" s="10"/>
      <c r="Q135" s="10"/>
      <c r="R135" s="19"/>
      <c r="S135" s="10"/>
    </row>
    <row r="136" customFormat="false" ht="15" hidden="false" customHeight="false" outlineLevel="0" collapsed="false">
      <c r="A136" s="18"/>
      <c r="B136" s="19"/>
      <c r="C136" s="10"/>
      <c r="D136" s="10"/>
      <c r="E136" s="10"/>
      <c r="F136" s="10"/>
      <c r="G136" s="10"/>
      <c r="H136" s="10"/>
      <c r="I136" s="10"/>
      <c r="J136" s="10"/>
      <c r="K136" s="10"/>
      <c r="L136" s="19"/>
      <c r="M136" s="10"/>
      <c r="N136" s="19"/>
      <c r="O136" s="10"/>
      <c r="P136" s="10"/>
      <c r="Q136" s="10"/>
      <c r="R136" s="19"/>
      <c r="S136" s="10"/>
    </row>
    <row r="137" customFormat="false" ht="15" hidden="false" customHeight="false" outlineLevel="0" collapsed="false">
      <c r="A137" s="18"/>
      <c r="B137" s="19"/>
      <c r="C137" s="10"/>
      <c r="D137" s="10"/>
      <c r="E137" s="10"/>
      <c r="F137" s="10"/>
      <c r="G137" s="10"/>
      <c r="H137" s="10"/>
      <c r="I137" s="10"/>
      <c r="J137" s="10"/>
      <c r="K137" s="10"/>
      <c r="L137" s="19"/>
      <c r="M137" s="10"/>
      <c r="N137" s="19"/>
      <c r="O137" s="10"/>
      <c r="P137" s="10"/>
      <c r="Q137" s="10"/>
      <c r="R137" s="19"/>
      <c r="S137" s="10"/>
    </row>
    <row r="138" customFormat="false" ht="15" hidden="false" customHeight="false" outlineLevel="0" collapsed="false">
      <c r="A138" s="18"/>
      <c r="B138" s="19"/>
      <c r="C138" s="10"/>
      <c r="D138" s="10"/>
      <c r="E138" s="10"/>
      <c r="F138" s="10"/>
      <c r="G138" s="10"/>
      <c r="H138" s="10"/>
      <c r="I138" s="10"/>
      <c r="J138" s="10"/>
      <c r="K138" s="10"/>
      <c r="L138" s="19"/>
      <c r="M138" s="10"/>
      <c r="N138" s="19"/>
      <c r="O138" s="10"/>
      <c r="P138" s="10"/>
      <c r="Q138" s="10"/>
      <c r="R138" s="19"/>
      <c r="S138" s="10"/>
    </row>
    <row r="139" customFormat="false" ht="15" hidden="false" customHeight="false" outlineLevel="0" collapsed="false">
      <c r="A139" s="18"/>
      <c r="B139" s="19"/>
      <c r="C139" s="10"/>
      <c r="D139" s="10"/>
      <c r="E139" s="10"/>
      <c r="F139" s="10"/>
      <c r="G139" s="10"/>
      <c r="H139" s="10"/>
      <c r="I139" s="10"/>
      <c r="J139" s="10"/>
      <c r="K139" s="10"/>
      <c r="L139" s="19"/>
      <c r="M139" s="10"/>
      <c r="N139" s="19"/>
      <c r="O139" s="10"/>
      <c r="P139" s="10"/>
      <c r="Q139" s="10"/>
      <c r="R139" s="19"/>
      <c r="S139" s="10"/>
    </row>
    <row r="140" customFormat="false" ht="15" hidden="false" customHeight="false" outlineLevel="0" collapsed="false">
      <c r="A140" s="18"/>
      <c r="B140" s="19"/>
      <c r="C140" s="10"/>
      <c r="D140" s="10"/>
      <c r="E140" s="10"/>
      <c r="F140" s="10"/>
      <c r="G140" s="10"/>
      <c r="H140" s="10"/>
      <c r="I140" s="10"/>
      <c r="J140" s="10"/>
      <c r="K140" s="10"/>
      <c r="L140" s="19"/>
      <c r="M140" s="10"/>
      <c r="N140" s="19"/>
      <c r="O140" s="10"/>
      <c r="P140" s="10"/>
      <c r="Q140" s="10"/>
      <c r="R140" s="19"/>
      <c r="S140" s="10"/>
    </row>
    <row r="141" customFormat="false" ht="15" hidden="false" customHeight="false" outlineLevel="0" collapsed="false">
      <c r="A141" s="18"/>
      <c r="B141" s="19"/>
      <c r="C141" s="10"/>
      <c r="D141" s="10"/>
      <c r="E141" s="10"/>
      <c r="F141" s="10"/>
      <c r="G141" s="10"/>
      <c r="H141" s="10"/>
      <c r="I141" s="10"/>
      <c r="J141" s="10"/>
      <c r="K141" s="10"/>
      <c r="L141" s="19"/>
      <c r="M141" s="10"/>
      <c r="N141" s="19"/>
      <c r="O141" s="10"/>
      <c r="P141" s="10"/>
      <c r="Q141" s="10"/>
      <c r="R141" s="19"/>
      <c r="S141" s="10"/>
    </row>
    <row r="142" customFormat="false" ht="15" hidden="false" customHeight="false" outlineLevel="0" collapsed="false">
      <c r="A142" s="18"/>
      <c r="B142" s="19"/>
      <c r="C142" s="10"/>
      <c r="D142" s="10"/>
      <c r="E142" s="10"/>
      <c r="F142" s="10"/>
      <c r="G142" s="10"/>
      <c r="H142" s="10"/>
      <c r="I142" s="10"/>
      <c r="J142" s="10"/>
      <c r="K142" s="10"/>
      <c r="L142" s="19"/>
      <c r="M142" s="10"/>
      <c r="N142" s="19"/>
      <c r="O142" s="10"/>
      <c r="P142" s="10"/>
      <c r="Q142" s="10"/>
      <c r="R142" s="19"/>
      <c r="S142" s="10"/>
    </row>
    <row r="143" customFormat="false" ht="15" hidden="false" customHeight="false" outlineLevel="0" collapsed="false">
      <c r="A143" s="18"/>
      <c r="B143" s="19"/>
      <c r="C143" s="10"/>
      <c r="D143" s="10"/>
      <c r="E143" s="10"/>
      <c r="F143" s="10"/>
      <c r="G143" s="10"/>
      <c r="H143" s="10"/>
      <c r="I143" s="10"/>
      <c r="J143" s="10"/>
      <c r="K143" s="10"/>
      <c r="L143" s="19"/>
      <c r="M143" s="10"/>
      <c r="N143" s="19"/>
      <c r="O143" s="10"/>
      <c r="P143" s="10"/>
      <c r="Q143" s="10"/>
      <c r="R143" s="19"/>
      <c r="S143" s="10"/>
    </row>
    <row r="144" customFormat="false" ht="15" hidden="false" customHeight="false" outlineLevel="0" collapsed="false">
      <c r="A144" s="18"/>
      <c r="B144" s="19"/>
      <c r="C144" s="10"/>
      <c r="D144" s="10"/>
      <c r="E144" s="10"/>
      <c r="F144" s="10"/>
      <c r="G144" s="10"/>
      <c r="H144" s="10"/>
      <c r="I144" s="10"/>
      <c r="J144" s="10"/>
      <c r="K144" s="10"/>
      <c r="L144" s="19"/>
      <c r="M144" s="10"/>
      <c r="N144" s="19"/>
      <c r="O144" s="10"/>
      <c r="P144" s="10"/>
      <c r="Q144" s="10"/>
      <c r="R144" s="19"/>
      <c r="S144" s="10"/>
    </row>
    <row r="145" customFormat="false" ht="15" hidden="false" customHeight="false" outlineLevel="0" collapsed="false">
      <c r="A145" s="18"/>
      <c r="B145" s="19"/>
      <c r="C145" s="10"/>
      <c r="D145" s="10"/>
      <c r="E145" s="10"/>
      <c r="F145" s="10"/>
      <c r="G145" s="10"/>
      <c r="H145" s="10"/>
      <c r="I145" s="10"/>
      <c r="J145" s="10"/>
      <c r="K145" s="10"/>
      <c r="L145" s="19"/>
      <c r="M145" s="10"/>
      <c r="N145" s="19"/>
      <c r="O145" s="10"/>
      <c r="P145" s="10"/>
      <c r="Q145" s="10"/>
      <c r="R145" s="19"/>
      <c r="S145" s="10"/>
    </row>
    <row r="146" customFormat="false" ht="15" hidden="false" customHeight="false" outlineLevel="0" collapsed="false">
      <c r="A146" s="18"/>
      <c r="B146" s="19"/>
      <c r="C146" s="10"/>
      <c r="D146" s="10"/>
      <c r="E146" s="10"/>
      <c r="F146" s="10"/>
      <c r="G146" s="10"/>
      <c r="H146" s="10"/>
      <c r="I146" s="10"/>
      <c r="J146" s="10"/>
      <c r="K146" s="10"/>
      <c r="L146" s="19"/>
      <c r="M146" s="10"/>
      <c r="N146" s="19"/>
      <c r="O146" s="10"/>
      <c r="P146" s="10"/>
      <c r="Q146" s="10"/>
      <c r="R146" s="19"/>
      <c r="S146" s="10"/>
    </row>
    <row r="147" customFormat="false" ht="15" hidden="false" customHeight="false" outlineLevel="0" collapsed="false">
      <c r="A147" s="18"/>
      <c r="B147" s="19"/>
      <c r="C147" s="10"/>
      <c r="D147" s="10"/>
      <c r="E147" s="10"/>
      <c r="F147" s="10"/>
      <c r="G147" s="10"/>
      <c r="H147" s="10"/>
      <c r="I147" s="10"/>
      <c r="J147" s="10"/>
      <c r="K147" s="10"/>
      <c r="L147" s="19"/>
      <c r="M147" s="10"/>
      <c r="N147" s="19"/>
      <c r="O147" s="10"/>
      <c r="P147" s="10"/>
      <c r="Q147" s="10"/>
      <c r="R147" s="19"/>
      <c r="S147" s="10"/>
    </row>
    <row r="148" customFormat="false" ht="15" hidden="false" customHeight="false" outlineLevel="0" collapsed="false">
      <c r="A148" s="18"/>
      <c r="B148" s="19"/>
      <c r="C148" s="10"/>
      <c r="D148" s="10"/>
      <c r="E148" s="10"/>
      <c r="F148" s="10"/>
      <c r="G148" s="10"/>
      <c r="H148" s="10"/>
      <c r="I148" s="10"/>
      <c r="J148" s="10"/>
      <c r="K148" s="10"/>
      <c r="L148" s="19"/>
      <c r="M148" s="10"/>
      <c r="N148" s="19"/>
      <c r="O148" s="10"/>
      <c r="P148" s="10"/>
      <c r="Q148" s="10"/>
      <c r="R148" s="19"/>
      <c r="S148" s="10"/>
    </row>
    <row r="149" customFormat="false" ht="15" hidden="false" customHeight="false" outlineLevel="0" collapsed="false">
      <c r="A149" s="18"/>
      <c r="B149" s="19"/>
      <c r="C149" s="10"/>
      <c r="D149" s="10"/>
      <c r="E149" s="10"/>
      <c r="F149" s="10"/>
      <c r="G149" s="10"/>
      <c r="H149" s="10"/>
      <c r="I149" s="10"/>
      <c r="J149" s="10"/>
      <c r="K149" s="10"/>
      <c r="L149" s="19"/>
      <c r="M149" s="10"/>
      <c r="N149" s="19"/>
      <c r="O149" s="10"/>
      <c r="P149" s="10"/>
      <c r="Q149" s="10"/>
      <c r="R149" s="19"/>
      <c r="S149" s="10"/>
    </row>
    <row r="150" customFormat="false" ht="15" hidden="false" customHeight="false" outlineLevel="0" collapsed="false">
      <c r="A150" s="18"/>
      <c r="B150" s="19"/>
      <c r="C150" s="10"/>
      <c r="D150" s="10"/>
      <c r="E150" s="10"/>
      <c r="F150" s="10"/>
      <c r="G150" s="10"/>
      <c r="H150" s="10"/>
      <c r="I150" s="10"/>
      <c r="J150" s="10"/>
      <c r="K150" s="10"/>
      <c r="L150" s="19"/>
      <c r="M150" s="10"/>
      <c r="N150" s="19"/>
      <c r="O150" s="10"/>
      <c r="P150" s="10"/>
      <c r="Q150" s="10"/>
      <c r="R150" s="19"/>
      <c r="S150" s="10"/>
    </row>
    <row r="151" customFormat="false" ht="15" hidden="false" customHeight="false" outlineLevel="0" collapsed="false">
      <c r="A151" s="18"/>
      <c r="B151" s="19"/>
      <c r="C151" s="10"/>
      <c r="D151" s="10"/>
      <c r="E151" s="10"/>
      <c r="F151" s="10"/>
      <c r="G151" s="10"/>
      <c r="H151" s="10"/>
      <c r="I151" s="10"/>
      <c r="J151" s="10"/>
      <c r="K151" s="10"/>
      <c r="L151" s="19"/>
      <c r="M151" s="10"/>
      <c r="N151" s="19"/>
      <c r="O151" s="10"/>
      <c r="P151" s="10"/>
      <c r="Q151" s="10"/>
      <c r="R151" s="19"/>
      <c r="S151" s="10"/>
    </row>
    <row r="152" customFormat="false" ht="15" hidden="false" customHeight="false" outlineLevel="0" collapsed="false">
      <c r="A152" s="18"/>
      <c r="B152" s="19"/>
      <c r="C152" s="10"/>
      <c r="D152" s="10"/>
      <c r="E152" s="10"/>
      <c r="F152" s="10"/>
      <c r="G152" s="10"/>
      <c r="H152" s="10"/>
      <c r="I152" s="10"/>
      <c r="J152" s="10"/>
      <c r="K152" s="10"/>
      <c r="L152" s="19"/>
      <c r="M152" s="10"/>
      <c r="N152" s="19"/>
      <c r="O152" s="10"/>
      <c r="P152" s="10"/>
      <c r="Q152" s="10"/>
      <c r="R152" s="19"/>
      <c r="S152" s="10"/>
    </row>
    <row r="153" customFormat="false" ht="15" hidden="false" customHeight="false" outlineLevel="0" collapsed="false">
      <c r="A153" s="18"/>
      <c r="B153" s="19"/>
      <c r="C153" s="10"/>
      <c r="D153" s="10"/>
      <c r="E153" s="10"/>
      <c r="F153" s="10"/>
      <c r="G153" s="10"/>
      <c r="H153" s="10"/>
      <c r="I153" s="10"/>
      <c r="J153" s="10"/>
      <c r="K153" s="10"/>
      <c r="L153" s="19"/>
      <c r="M153" s="10"/>
      <c r="N153" s="19"/>
      <c r="O153" s="10"/>
      <c r="P153" s="10"/>
      <c r="Q153" s="10"/>
      <c r="R153" s="19"/>
      <c r="S153" s="10"/>
    </row>
    <row r="154" customFormat="false" ht="15" hidden="false" customHeight="false" outlineLevel="0" collapsed="false">
      <c r="A154" s="18"/>
      <c r="B154" s="19"/>
      <c r="C154" s="10"/>
      <c r="D154" s="10"/>
      <c r="E154" s="10"/>
      <c r="F154" s="10"/>
      <c r="G154" s="10"/>
      <c r="H154" s="10"/>
      <c r="I154" s="10"/>
      <c r="J154" s="10"/>
      <c r="K154" s="10"/>
      <c r="L154" s="19"/>
      <c r="M154" s="10"/>
      <c r="N154" s="19"/>
      <c r="O154" s="10"/>
      <c r="P154" s="10"/>
      <c r="Q154" s="10"/>
      <c r="R154" s="19"/>
      <c r="S154" s="10"/>
    </row>
    <row r="155" customFormat="false" ht="15" hidden="false" customHeight="false" outlineLevel="0" collapsed="false">
      <c r="A155" s="18"/>
      <c r="B155" s="19"/>
      <c r="C155" s="10"/>
      <c r="D155" s="10"/>
      <c r="E155" s="10"/>
      <c r="F155" s="10"/>
      <c r="G155" s="10"/>
      <c r="H155" s="10"/>
      <c r="I155" s="10"/>
      <c r="J155" s="10"/>
      <c r="K155" s="10"/>
      <c r="L155" s="19"/>
      <c r="M155" s="10"/>
      <c r="N155" s="19"/>
      <c r="O155" s="10"/>
      <c r="P155" s="10"/>
      <c r="Q155" s="10"/>
      <c r="R155" s="19"/>
      <c r="S155" s="10"/>
    </row>
    <row r="156" customFormat="false" ht="15" hidden="false" customHeight="false" outlineLevel="0" collapsed="false">
      <c r="A156" s="18"/>
      <c r="B156" s="19"/>
      <c r="C156" s="10"/>
      <c r="D156" s="10"/>
      <c r="E156" s="10"/>
      <c r="F156" s="10"/>
      <c r="G156" s="10"/>
      <c r="H156" s="10"/>
      <c r="I156" s="10"/>
      <c r="J156" s="10"/>
      <c r="K156" s="10"/>
      <c r="L156" s="19"/>
      <c r="M156" s="10"/>
      <c r="N156" s="19"/>
      <c r="O156" s="10"/>
      <c r="P156" s="10"/>
      <c r="Q156" s="10"/>
      <c r="R156" s="19"/>
      <c r="S156" s="10"/>
    </row>
    <row r="157" customFormat="false" ht="15" hidden="false" customHeight="false" outlineLevel="0" collapsed="false">
      <c r="A157" s="18"/>
      <c r="B157" s="19"/>
      <c r="C157" s="10"/>
      <c r="D157" s="10"/>
      <c r="E157" s="10"/>
      <c r="F157" s="10"/>
      <c r="G157" s="10"/>
      <c r="H157" s="10"/>
      <c r="I157" s="10"/>
      <c r="J157" s="10"/>
      <c r="K157" s="10"/>
      <c r="L157" s="19"/>
      <c r="M157" s="10"/>
      <c r="N157" s="19"/>
      <c r="O157" s="10"/>
      <c r="P157" s="10"/>
      <c r="Q157" s="10"/>
      <c r="R157" s="19"/>
      <c r="S157" s="10"/>
    </row>
    <row r="158" customFormat="false" ht="15" hidden="false" customHeight="false" outlineLevel="0" collapsed="false">
      <c r="A158" s="18"/>
      <c r="B158" s="19"/>
      <c r="C158" s="10"/>
      <c r="D158" s="10"/>
      <c r="E158" s="10"/>
      <c r="F158" s="10"/>
      <c r="G158" s="10"/>
      <c r="H158" s="10"/>
      <c r="I158" s="10"/>
      <c r="J158" s="10"/>
      <c r="K158" s="10"/>
      <c r="L158" s="19"/>
      <c r="M158" s="10"/>
      <c r="N158" s="19"/>
      <c r="O158" s="10"/>
      <c r="P158" s="10"/>
      <c r="Q158" s="10"/>
      <c r="R158" s="19"/>
      <c r="S158" s="10"/>
    </row>
    <row r="159" customFormat="false" ht="15" hidden="false" customHeight="false" outlineLevel="0" collapsed="false">
      <c r="A159" s="18"/>
      <c r="B159" s="19"/>
      <c r="C159" s="10"/>
      <c r="D159" s="10"/>
      <c r="E159" s="10"/>
      <c r="F159" s="10"/>
      <c r="G159" s="10"/>
      <c r="H159" s="10"/>
      <c r="I159" s="10"/>
      <c r="J159" s="10"/>
      <c r="K159" s="10"/>
      <c r="L159" s="19"/>
      <c r="M159" s="10"/>
      <c r="N159" s="19"/>
      <c r="O159" s="10"/>
      <c r="P159" s="10"/>
      <c r="Q159" s="10"/>
      <c r="R159" s="19"/>
      <c r="S159" s="10"/>
    </row>
    <row r="160" customFormat="false" ht="15" hidden="false" customHeight="false" outlineLevel="0" collapsed="false">
      <c r="A160" s="18"/>
      <c r="B160" s="19"/>
      <c r="C160" s="10"/>
      <c r="D160" s="10"/>
      <c r="E160" s="10"/>
      <c r="F160" s="10"/>
      <c r="G160" s="10"/>
      <c r="H160" s="10"/>
      <c r="I160" s="10"/>
      <c r="J160" s="10"/>
      <c r="K160" s="10"/>
      <c r="L160" s="19"/>
      <c r="M160" s="10"/>
      <c r="N160" s="19"/>
      <c r="O160" s="10"/>
      <c r="P160" s="10"/>
      <c r="Q160" s="10"/>
      <c r="R160" s="19"/>
      <c r="S160" s="10"/>
    </row>
    <row r="161" customFormat="false" ht="15" hidden="false" customHeight="false" outlineLevel="0" collapsed="false">
      <c r="A161" s="18"/>
      <c r="B161" s="19"/>
      <c r="C161" s="10"/>
      <c r="D161" s="10"/>
      <c r="E161" s="10"/>
      <c r="F161" s="10"/>
      <c r="G161" s="10"/>
      <c r="H161" s="10"/>
      <c r="I161" s="10"/>
      <c r="J161" s="10"/>
      <c r="K161" s="10"/>
      <c r="L161" s="19"/>
      <c r="M161" s="10"/>
      <c r="N161" s="19"/>
      <c r="O161" s="10"/>
      <c r="P161" s="10"/>
      <c r="Q161" s="10"/>
      <c r="R161" s="19"/>
      <c r="S161" s="10"/>
    </row>
    <row r="162" customFormat="false" ht="15" hidden="false" customHeight="false" outlineLevel="0" collapsed="false">
      <c r="A162" s="18"/>
      <c r="B162" s="19"/>
      <c r="C162" s="10"/>
      <c r="D162" s="10"/>
      <c r="E162" s="10"/>
      <c r="F162" s="10"/>
      <c r="G162" s="10"/>
      <c r="H162" s="10"/>
      <c r="I162" s="10"/>
      <c r="J162" s="10"/>
      <c r="K162" s="10"/>
      <c r="L162" s="19"/>
      <c r="M162" s="10"/>
      <c r="N162" s="19"/>
      <c r="O162" s="10"/>
      <c r="P162" s="10"/>
      <c r="Q162" s="10"/>
      <c r="R162" s="19"/>
      <c r="S162" s="10"/>
    </row>
    <row r="163" customFormat="false" ht="15" hidden="false" customHeight="false" outlineLevel="0" collapsed="false">
      <c r="A163" s="18"/>
      <c r="B163" s="19"/>
      <c r="C163" s="10"/>
      <c r="D163" s="10"/>
      <c r="E163" s="10"/>
      <c r="F163" s="10"/>
      <c r="G163" s="10"/>
      <c r="H163" s="10"/>
      <c r="I163" s="10"/>
      <c r="J163" s="10"/>
      <c r="K163" s="10"/>
      <c r="L163" s="19"/>
      <c r="M163" s="10"/>
      <c r="N163" s="19"/>
      <c r="O163" s="10"/>
      <c r="P163" s="10"/>
      <c r="Q163" s="10"/>
      <c r="R163" s="19"/>
      <c r="S163" s="10"/>
    </row>
    <row r="164" customFormat="false" ht="15" hidden="false" customHeight="false" outlineLevel="0" collapsed="false">
      <c r="A164" s="18"/>
      <c r="B164" s="19"/>
      <c r="C164" s="10"/>
      <c r="D164" s="10"/>
      <c r="E164" s="10"/>
      <c r="F164" s="10"/>
      <c r="G164" s="10"/>
      <c r="H164" s="10"/>
      <c r="I164" s="10"/>
      <c r="J164" s="10"/>
      <c r="K164" s="10"/>
      <c r="L164" s="19"/>
      <c r="M164" s="10"/>
      <c r="N164" s="19"/>
      <c r="O164" s="10"/>
      <c r="P164" s="10"/>
      <c r="Q164" s="10"/>
      <c r="R164" s="19"/>
      <c r="S164" s="10"/>
    </row>
    <row r="165" customFormat="false" ht="15" hidden="false" customHeight="false" outlineLevel="0" collapsed="false">
      <c r="A165" s="18"/>
      <c r="B165" s="19"/>
      <c r="C165" s="10"/>
      <c r="D165" s="10"/>
      <c r="E165" s="10"/>
      <c r="F165" s="10"/>
      <c r="G165" s="10"/>
      <c r="H165" s="10"/>
      <c r="I165" s="10"/>
      <c r="J165" s="10"/>
      <c r="K165" s="10"/>
      <c r="L165" s="19"/>
      <c r="M165" s="10"/>
      <c r="N165" s="19"/>
      <c r="O165" s="10"/>
      <c r="P165" s="10"/>
      <c r="Q165" s="10"/>
      <c r="R165" s="19"/>
      <c r="S165" s="10"/>
    </row>
    <row r="166" customFormat="false" ht="15" hidden="false" customHeight="false" outlineLevel="0" collapsed="false">
      <c r="A166" s="18"/>
      <c r="B166" s="19"/>
      <c r="C166" s="10"/>
      <c r="D166" s="10"/>
      <c r="E166" s="10"/>
      <c r="F166" s="10"/>
      <c r="G166" s="10"/>
      <c r="H166" s="10"/>
      <c r="I166" s="10"/>
      <c r="J166" s="10"/>
      <c r="K166" s="10"/>
      <c r="L166" s="19"/>
      <c r="M166" s="10"/>
      <c r="N166" s="19"/>
      <c r="O166" s="10"/>
      <c r="P166" s="10"/>
      <c r="Q166" s="10"/>
      <c r="R166" s="19"/>
      <c r="S166" s="10"/>
    </row>
    <row r="167" customFormat="false" ht="15" hidden="false" customHeight="false" outlineLevel="0" collapsed="false">
      <c r="A167" s="18"/>
      <c r="B167" s="19"/>
      <c r="C167" s="10"/>
      <c r="D167" s="10"/>
      <c r="E167" s="10"/>
      <c r="F167" s="10"/>
      <c r="G167" s="10"/>
      <c r="H167" s="10"/>
      <c r="I167" s="10"/>
      <c r="J167" s="10"/>
      <c r="K167" s="10"/>
      <c r="L167" s="19"/>
      <c r="M167" s="10"/>
      <c r="N167" s="19"/>
      <c r="O167" s="10"/>
      <c r="P167" s="10"/>
      <c r="Q167" s="10"/>
      <c r="R167" s="19"/>
      <c r="S167" s="10"/>
    </row>
    <row r="168" customFormat="false" ht="15" hidden="false" customHeight="false" outlineLevel="0" collapsed="false">
      <c r="A168" s="18"/>
      <c r="B168" s="19"/>
      <c r="C168" s="10"/>
      <c r="D168" s="10"/>
      <c r="E168" s="10"/>
      <c r="F168" s="10"/>
      <c r="G168" s="10"/>
      <c r="H168" s="10"/>
      <c r="I168" s="10"/>
      <c r="J168" s="10"/>
      <c r="K168" s="10"/>
      <c r="L168" s="19"/>
      <c r="M168" s="10"/>
      <c r="N168" s="19"/>
      <c r="O168" s="10"/>
      <c r="P168" s="10"/>
      <c r="Q168" s="10"/>
      <c r="R168" s="19"/>
      <c r="S168" s="10"/>
    </row>
    <row r="169" customFormat="false" ht="15" hidden="false" customHeight="false" outlineLevel="0" collapsed="false">
      <c r="A169" s="18"/>
      <c r="B169" s="19"/>
      <c r="C169" s="10"/>
      <c r="D169" s="10"/>
      <c r="E169" s="10"/>
      <c r="F169" s="10"/>
      <c r="G169" s="10"/>
      <c r="H169" s="10"/>
      <c r="I169" s="10"/>
      <c r="J169" s="10"/>
      <c r="K169" s="10"/>
      <c r="L169" s="19"/>
      <c r="M169" s="10"/>
      <c r="N169" s="19"/>
      <c r="O169" s="10"/>
      <c r="P169" s="10"/>
      <c r="Q169" s="10"/>
      <c r="R169" s="19"/>
      <c r="S169" s="10"/>
    </row>
    <row r="170" customFormat="false" ht="15" hidden="false" customHeight="false" outlineLevel="0" collapsed="false">
      <c r="A170" s="18"/>
      <c r="B170" s="19"/>
      <c r="C170" s="10"/>
      <c r="D170" s="10"/>
      <c r="E170" s="10"/>
      <c r="F170" s="10"/>
      <c r="G170" s="10"/>
      <c r="H170" s="10"/>
      <c r="I170" s="10"/>
      <c r="J170" s="10"/>
      <c r="K170" s="10"/>
      <c r="L170" s="19"/>
      <c r="M170" s="10"/>
      <c r="N170" s="19"/>
      <c r="O170" s="10"/>
      <c r="P170" s="10"/>
      <c r="Q170" s="10"/>
      <c r="R170" s="19"/>
      <c r="S170" s="10"/>
    </row>
    <row r="171" customFormat="false" ht="15" hidden="false" customHeight="false" outlineLevel="0" collapsed="false">
      <c r="A171" s="18"/>
      <c r="B171" s="19"/>
      <c r="C171" s="10"/>
      <c r="D171" s="10"/>
      <c r="E171" s="10"/>
      <c r="F171" s="10"/>
      <c r="G171" s="10"/>
      <c r="H171" s="10"/>
      <c r="I171" s="10"/>
      <c r="J171" s="10"/>
      <c r="K171" s="10"/>
      <c r="L171" s="19"/>
      <c r="M171" s="10"/>
      <c r="N171" s="19"/>
      <c r="O171" s="10"/>
      <c r="P171" s="10"/>
      <c r="Q171" s="10"/>
      <c r="R171" s="19"/>
      <c r="S171" s="10"/>
    </row>
    <row r="172" customFormat="false" ht="15" hidden="false" customHeight="false" outlineLevel="0" collapsed="false">
      <c r="A172" s="18"/>
      <c r="B172" s="19"/>
      <c r="C172" s="10"/>
      <c r="D172" s="10"/>
      <c r="E172" s="10"/>
      <c r="F172" s="10"/>
      <c r="G172" s="10"/>
      <c r="H172" s="10"/>
      <c r="I172" s="10"/>
      <c r="J172" s="10"/>
      <c r="K172" s="10"/>
      <c r="L172" s="19"/>
      <c r="M172" s="10"/>
      <c r="N172" s="19"/>
      <c r="O172" s="10"/>
      <c r="P172" s="10"/>
      <c r="Q172" s="10"/>
      <c r="R172" s="19"/>
      <c r="S172" s="10"/>
    </row>
    <row r="173" customFormat="false" ht="15" hidden="false" customHeight="false" outlineLevel="0" collapsed="false">
      <c r="A173" s="18"/>
      <c r="B173" s="19"/>
      <c r="C173" s="10"/>
      <c r="D173" s="10"/>
      <c r="E173" s="10"/>
      <c r="F173" s="10"/>
      <c r="G173" s="10"/>
      <c r="H173" s="10"/>
      <c r="I173" s="10"/>
      <c r="J173" s="10"/>
      <c r="K173" s="10"/>
      <c r="L173" s="19"/>
      <c r="M173" s="10"/>
      <c r="N173" s="19"/>
      <c r="O173" s="10"/>
      <c r="P173" s="10"/>
      <c r="Q173" s="10"/>
      <c r="R173" s="19"/>
      <c r="S173" s="10"/>
    </row>
    <row r="174" customFormat="false" ht="15" hidden="false" customHeight="false" outlineLevel="0" collapsed="false">
      <c r="A174" s="18"/>
      <c r="B174" s="19"/>
      <c r="C174" s="10"/>
      <c r="D174" s="10"/>
      <c r="E174" s="10"/>
      <c r="F174" s="10"/>
      <c r="G174" s="10"/>
      <c r="H174" s="10"/>
      <c r="I174" s="10"/>
      <c r="J174" s="10"/>
      <c r="K174" s="10"/>
      <c r="L174" s="19"/>
      <c r="M174" s="10"/>
      <c r="N174" s="19"/>
      <c r="O174" s="10"/>
      <c r="P174" s="10"/>
      <c r="Q174" s="10"/>
      <c r="R174" s="19"/>
      <c r="S174" s="10"/>
    </row>
    <row r="175" customFormat="false" ht="15" hidden="false" customHeight="false" outlineLevel="0" collapsed="false">
      <c r="A175" s="18"/>
      <c r="B175" s="19"/>
      <c r="C175" s="10"/>
      <c r="D175" s="10"/>
      <c r="E175" s="10"/>
      <c r="F175" s="10"/>
      <c r="G175" s="10"/>
      <c r="H175" s="10"/>
      <c r="I175" s="10"/>
      <c r="J175" s="10"/>
      <c r="K175" s="10"/>
      <c r="L175" s="19"/>
      <c r="M175" s="10"/>
      <c r="N175" s="19"/>
      <c r="O175" s="10"/>
      <c r="P175" s="10"/>
      <c r="Q175" s="10"/>
      <c r="R175" s="19"/>
      <c r="S175" s="10"/>
    </row>
    <row r="176" customFormat="false" ht="15" hidden="false" customHeight="false" outlineLevel="0" collapsed="false">
      <c r="A176" s="18"/>
      <c r="B176" s="19"/>
      <c r="C176" s="10"/>
      <c r="D176" s="10"/>
      <c r="E176" s="10"/>
      <c r="F176" s="10"/>
      <c r="G176" s="10"/>
      <c r="H176" s="10"/>
      <c r="I176" s="10"/>
      <c r="J176" s="10"/>
      <c r="K176" s="10"/>
      <c r="L176" s="19"/>
      <c r="M176" s="10"/>
      <c r="N176" s="19"/>
      <c r="O176" s="10"/>
      <c r="P176" s="10"/>
      <c r="Q176" s="10"/>
      <c r="R176" s="19"/>
      <c r="S176" s="10"/>
    </row>
    <row r="177" customFormat="false" ht="15" hidden="false" customHeight="false" outlineLevel="0" collapsed="false">
      <c r="A177" s="18"/>
      <c r="B177" s="19"/>
      <c r="C177" s="10"/>
      <c r="D177" s="10"/>
      <c r="E177" s="10"/>
      <c r="F177" s="10"/>
      <c r="G177" s="10"/>
      <c r="H177" s="10"/>
      <c r="I177" s="10"/>
      <c r="J177" s="10"/>
      <c r="K177" s="10"/>
      <c r="L177" s="19"/>
      <c r="M177" s="10"/>
      <c r="N177" s="19"/>
      <c r="O177" s="10"/>
      <c r="P177" s="10"/>
      <c r="Q177" s="10"/>
      <c r="R177" s="19"/>
      <c r="S177" s="10"/>
    </row>
    <row r="178" customFormat="false" ht="15" hidden="false" customHeight="false" outlineLevel="0" collapsed="false">
      <c r="A178" s="18"/>
      <c r="B178" s="19"/>
      <c r="C178" s="10"/>
      <c r="D178" s="10"/>
      <c r="E178" s="10"/>
      <c r="F178" s="10"/>
      <c r="G178" s="10"/>
      <c r="H178" s="10"/>
      <c r="I178" s="10"/>
      <c r="J178" s="10"/>
      <c r="K178" s="10"/>
      <c r="L178" s="19"/>
      <c r="M178" s="10"/>
      <c r="N178" s="19"/>
      <c r="O178" s="10"/>
      <c r="P178" s="10"/>
      <c r="Q178" s="10"/>
      <c r="R178" s="19"/>
      <c r="S178" s="10"/>
    </row>
    <row r="179" customFormat="false" ht="15" hidden="false" customHeight="false" outlineLevel="0" collapsed="false">
      <c r="A179" s="18"/>
      <c r="B179" s="19"/>
      <c r="C179" s="10"/>
      <c r="D179" s="10"/>
      <c r="E179" s="10"/>
      <c r="F179" s="10"/>
      <c r="G179" s="10"/>
      <c r="H179" s="10"/>
      <c r="I179" s="10"/>
      <c r="J179" s="10"/>
      <c r="K179" s="10"/>
      <c r="L179" s="19"/>
      <c r="M179" s="10"/>
      <c r="N179" s="19"/>
      <c r="O179" s="10"/>
      <c r="P179" s="10"/>
      <c r="Q179" s="10"/>
      <c r="R179" s="19"/>
      <c r="S179" s="10"/>
    </row>
    <row r="180" customFormat="false" ht="15" hidden="false" customHeight="false" outlineLevel="0" collapsed="false">
      <c r="A180" s="18"/>
      <c r="B180" s="19"/>
      <c r="C180" s="10"/>
      <c r="D180" s="10"/>
      <c r="E180" s="10"/>
      <c r="F180" s="10"/>
      <c r="G180" s="10"/>
      <c r="H180" s="10"/>
      <c r="I180" s="10"/>
      <c r="J180" s="10"/>
      <c r="K180" s="10"/>
      <c r="L180" s="19"/>
      <c r="M180" s="10"/>
      <c r="N180" s="19"/>
      <c r="O180" s="10"/>
      <c r="P180" s="10"/>
      <c r="Q180" s="10"/>
      <c r="R180" s="19"/>
      <c r="S180" s="10"/>
    </row>
    <row r="181" customFormat="false" ht="15" hidden="false" customHeight="false" outlineLevel="0" collapsed="false">
      <c r="A181" s="18"/>
      <c r="B181" s="19"/>
      <c r="C181" s="10"/>
      <c r="D181" s="10"/>
      <c r="E181" s="10"/>
      <c r="F181" s="10"/>
      <c r="G181" s="10"/>
      <c r="H181" s="10"/>
      <c r="I181" s="10"/>
      <c r="J181" s="10"/>
      <c r="K181" s="10"/>
      <c r="L181" s="19"/>
      <c r="M181" s="10"/>
      <c r="N181" s="19"/>
      <c r="O181" s="10"/>
      <c r="P181" s="10"/>
      <c r="Q181" s="10"/>
      <c r="R181" s="19"/>
      <c r="S181" s="10"/>
    </row>
    <row r="182" customFormat="false" ht="15" hidden="false" customHeight="false" outlineLevel="0" collapsed="false">
      <c r="A182" s="18"/>
      <c r="B182" s="19"/>
      <c r="C182" s="10"/>
      <c r="D182" s="10"/>
      <c r="E182" s="10"/>
      <c r="F182" s="10"/>
      <c r="G182" s="10"/>
      <c r="H182" s="10"/>
      <c r="I182" s="10"/>
      <c r="J182" s="10"/>
      <c r="K182" s="10"/>
      <c r="L182" s="19"/>
      <c r="M182" s="10"/>
      <c r="N182" s="19"/>
      <c r="O182" s="10"/>
      <c r="P182" s="10"/>
      <c r="Q182" s="10"/>
      <c r="R182" s="19"/>
      <c r="S182" s="10"/>
    </row>
    <row r="183" customFormat="false" ht="15" hidden="false" customHeight="false" outlineLevel="0" collapsed="false">
      <c r="A183" s="18"/>
      <c r="B183" s="19"/>
      <c r="C183" s="10"/>
      <c r="D183" s="10"/>
      <c r="E183" s="10"/>
      <c r="F183" s="10"/>
      <c r="G183" s="10"/>
      <c r="H183" s="10"/>
      <c r="I183" s="10"/>
      <c r="J183" s="10"/>
      <c r="K183" s="10"/>
      <c r="L183" s="19"/>
      <c r="M183" s="10"/>
      <c r="N183" s="19"/>
      <c r="O183" s="10"/>
      <c r="P183" s="10"/>
      <c r="Q183" s="10"/>
      <c r="R183" s="19"/>
      <c r="S183" s="10"/>
    </row>
    <row r="184" customFormat="false" ht="15" hidden="false" customHeight="false" outlineLevel="0" collapsed="false">
      <c r="A184" s="18"/>
      <c r="B184" s="19"/>
      <c r="C184" s="10"/>
      <c r="D184" s="10"/>
      <c r="E184" s="10"/>
      <c r="F184" s="10"/>
      <c r="G184" s="10"/>
      <c r="H184" s="10"/>
      <c r="I184" s="10"/>
      <c r="J184" s="10"/>
      <c r="K184" s="10"/>
      <c r="L184" s="19"/>
      <c r="M184" s="10"/>
      <c r="N184" s="19"/>
      <c r="O184" s="10"/>
      <c r="P184" s="10"/>
      <c r="Q184" s="10"/>
      <c r="R184" s="19"/>
      <c r="S184" s="10"/>
    </row>
    <row r="185" customFormat="false" ht="15" hidden="false" customHeight="false" outlineLevel="0" collapsed="false">
      <c r="A185" s="18"/>
      <c r="B185" s="19"/>
      <c r="C185" s="10"/>
      <c r="D185" s="10"/>
      <c r="E185" s="10"/>
      <c r="F185" s="10"/>
      <c r="G185" s="10"/>
      <c r="H185" s="10"/>
      <c r="I185" s="10"/>
      <c r="J185" s="10"/>
      <c r="K185" s="10"/>
      <c r="L185" s="19"/>
      <c r="M185" s="10"/>
      <c r="N185" s="19"/>
      <c r="O185" s="10"/>
      <c r="P185" s="10"/>
      <c r="Q185" s="10"/>
      <c r="R185" s="19"/>
      <c r="S185" s="10"/>
    </row>
    <row r="186" customFormat="false" ht="15" hidden="false" customHeight="false" outlineLevel="0" collapsed="false">
      <c r="A186" s="18"/>
      <c r="B186" s="19"/>
      <c r="C186" s="10"/>
      <c r="D186" s="10"/>
      <c r="E186" s="10"/>
      <c r="F186" s="10"/>
      <c r="G186" s="10"/>
      <c r="H186" s="10"/>
      <c r="I186" s="10"/>
      <c r="J186" s="10"/>
      <c r="K186" s="10"/>
      <c r="L186" s="19"/>
      <c r="M186" s="10"/>
      <c r="N186" s="19"/>
      <c r="O186" s="10"/>
      <c r="P186" s="10"/>
      <c r="Q186" s="10"/>
      <c r="R186" s="19"/>
      <c r="S186" s="10"/>
    </row>
    <row r="187" customFormat="false" ht="15" hidden="false" customHeight="false" outlineLevel="0" collapsed="false">
      <c r="A187" s="18"/>
      <c r="B187" s="19"/>
      <c r="C187" s="10"/>
      <c r="D187" s="10"/>
      <c r="E187" s="10"/>
      <c r="F187" s="10"/>
      <c r="G187" s="10"/>
      <c r="H187" s="10"/>
      <c r="I187" s="10"/>
      <c r="J187" s="10"/>
      <c r="K187" s="10"/>
      <c r="L187" s="19"/>
      <c r="M187" s="10"/>
      <c r="N187" s="19"/>
      <c r="O187" s="10"/>
      <c r="P187" s="10"/>
      <c r="Q187" s="10"/>
      <c r="R187" s="19"/>
      <c r="S187" s="10"/>
    </row>
    <row r="188" customFormat="false" ht="15" hidden="false" customHeight="false" outlineLevel="0" collapsed="false">
      <c r="A188" s="18"/>
      <c r="B188" s="19"/>
      <c r="C188" s="10"/>
      <c r="D188" s="10"/>
      <c r="E188" s="10"/>
      <c r="F188" s="10"/>
      <c r="G188" s="10"/>
      <c r="H188" s="10"/>
      <c r="I188" s="10"/>
      <c r="J188" s="10"/>
      <c r="K188" s="10"/>
      <c r="L188" s="19"/>
      <c r="M188" s="10"/>
      <c r="N188" s="19"/>
      <c r="O188" s="10"/>
      <c r="P188" s="10"/>
      <c r="Q188" s="10"/>
      <c r="R188" s="19"/>
      <c r="S188" s="10"/>
    </row>
    <row r="189" customFormat="false" ht="15" hidden="false" customHeight="false" outlineLevel="0" collapsed="false">
      <c r="A189" s="18"/>
      <c r="B189" s="19"/>
      <c r="C189" s="10"/>
      <c r="D189" s="10"/>
      <c r="E189" s="10"/>
      <c r="F189" s="10"/>
      <c r="G189" s="10"/>
      <c r="H189" s="10"/>
      <c r="I189" s="10"/>
      <c r="J189" s="10"/>
      <c r="K189" s="10"/>
      <c r="L189" s="19"/>
      <c r="M189" s="10"/>
      <c r="N189" s="19"/>
      <c r="O189" s="10"/>
      <c r="P189" s="10"/>
      <c r="Q189" s="10"/>
      <c r="R189" s="19"/>
      <c r="S189" s="10"/>
    </row>
    <row r="190" customFormat="false" ht="15" hidden="false" customHeight="false" outlineLevel="0" collapsed="false">
      <c r="A190" s="18"/>
      <c r="B190" s="19"/>
      <c r="C190" s="10"/>
      <c r="D190" s="10"/>
      <c r="E190" s="10"/>
      <c r="F190" s="10"/>
      <c r="G190" s="10"/>
      <c r="H190" s="10"/>
      <c r="I190" s="10"/>
      <c r="J190" s="10"/>
      <c r="K190" s="10"/>
      <c r="L190" s="19"/>
      <c r="M190" s="10"/>
      <c r="N190" s="19"/>
      <c r="O190" s="10"/>
      <c r="P190" s="10"/>
      <c r="Q190" s="10"/>
      <c r="R190" s="19"/>
      <c r="S190" s="10"/>
    </row>
    <row r="191" customFormat="false" ht="15" hidden="false" customHeight="false" outlineLevel="0" collapsed="false">
      <c r="A191" s="18"/>
      <c r="B191" s="19"/>
      <c r="C191" s="10"/>
      <c r="D191" s="10"/>
      <c r="E191" s="10"/>
      <c r="F191" s="10"/>
      <c r="G191" s="10"/>
      <c r="H191" s="10"/>
      <c r="I191" s="10"/>
      <c r="J191" s="10"/>
      <c r="K191" s="10"/>
      <c r="L191" s="19"/>
      <c r="M191" s="10"/>
      <c r="N191" s="19"/>
      <c r="O191" s="10"/>
      <c r="P191" s="10"/>
      <c r="Q191" s="10"/>
      <c r="R191" s="19"/>
      <c r="S191" s="10"/>
    </row>
    <row r="192" customFormat="false" ht="15" hidden="false" customHeight="false" outlineLevel="0" collapsed="false">
      <c r="A192" s="18"/>
      <c r="B192" s="19"/>
      <c r="C192" s="10"/>
      <c r="D192" s="10"/>
      <c r="E192" s="10"/>
      <c r="F192" s="10"/>
      <c r="G192" s="10"/>
      <c r="H192" s="10"/>
      <c r="I192" s="10"/>
      <c r="J192" s="10"/>
      <c r="K192" s="10"/>
      <c r="L192" s="19"/>
      <c r="M192" s="10"/>
      <c r="N192" s="19"/>
      <c r="O192" s="10"/>
      <c r="P192" s="10"/>
      <c r="Q192" s="10"/>
      <c r="R192" s="19"/>
      <c r="S192" s="10"/>
    </row>
    <row r="193" customFormat="false" ht="15" hidden="false" customHeight="false" outlineLevel="0" collapsed="false">
      <c r="A193" s="18"/>
      <c r="B193" s="19"/>
      <c r="C193" s="10"/>
      <c r="D193" s="10"/>
      <c r="E193" s="10"/>
      <c r="F193" s="10"/>
      <c r="G193" s="10"/>
      <c r="H193" s="10"/>
      <c r="I193" s="10"/>
      <c r="J193" s="10"/>
      <c r="K193" s="10"/>
      <c r="L193" s="19"/>
      <c r="M193" s="10"/>
      <c r="N193" s="19"/>
      <c r="O193" s="10"/>
      <c r="P193" s="10"/>
      <c r="Q193" s="10"/>
      <c r="R193" s="19"/>
      <c r="S193" s="10"/>
    </row>
    <row r="194" customFormat="false" ht="15" hidden="false" customHeight="false" outlineLevel="0" collapsed="false">
      <c r="A194" s="18"/>
      <c r="B194" s="19"/>
      <c r="C194" s="10"/>
      <c r="D194" s="10"/>
      <c r="E194" s="10"/>
      <c r="F194" s="10"/>
      <c r="G194" s="10"/>
      <c r="H194" s="10"/>
      <c r="I194" s="10"/>
      <c r="J194" s="10"/>
      <c r="K194" s="10"/>
      <c r="L194" s="19"/>
      <c r="M194" s="10"/>
      <c r="N194" s="19"/>
      <c r="O194" s="10"/>
      <c r="P194" s="10"/>
      <c r="Q194" s="10"/>
      <c r="R194" s="19"/>
      <c r="S194" s="10"/>
    </row>
    <row r="195" customFormat="false" ht="15" hidden="false" customHeight="false" outlineLevel="0" collapsed="false">
      <c r="A195" s="18"/>
      <c r="B195" s="19"/>
      <c r="C195" s="10"/>
      <c r="D195" s="10"/>
      <c r="E195" s="10"/>
      <c r="F195" s="10"/>
      <c r="G195" s="10"/>
      <c r="H195" s="10"/>
      <c r="I195" s="10"/>
      <c r="J195" s="10"/>
      <c r="K195" s="10"/>
      <c r="L195" s="19"/>
      <c r="M195" s="10"/>
      <c r="N195" s="19"/>
      <c r="O195" s="10"/>
      <c r="P195" s="10"/>
      <c r="Q195" s="10"/>
      <c r="R195" s="19"/>
      <c r="S195" s="10"/>
    </row>
    <row r="196" customFormat="false" ht="15" hidden="false" customHeight="false" outlineLevel="0" collapsed="false">
      <c r="A196" s="18"/>
      <c r="B196" s="19"/>
      <c r="C196" s="10"/>
      <c r="D196" s="10"/>
      <c r="E196" s="10"/>
      <c r="F196" s="10"/>
      <c r="G196" s="10"/>
      <c r="H196" s="10"/>
      <c r="I196" s="10"/>
      <c r="J196" s="10"/>
      <c r="K196" s="10"/>
      <c r="L196" s="19"/>
      <c r="M196" s="10"/>
      <c r="N196" s="19"/>
      <c r="O196" s="10"/>
      <c r="P196" s="10"/>
      <c r="Q196" s="10"/>
      <c r="R196" s="19"/>
      <c r="S196" s="10"/>
    </row>
    <row r="197" customFormat="false" ht="15" hidden="false" customHeight="false" outlineLevel="0" collapsed="false">
      <c r="A197" s="18"/>
      <c r="B197" s="19"/>
      <c r="C197" s="10"/>
      <c r="D197" s="10"/>
      <c r="E197" s="10"/>
      <c r="F197" s="10"/>
      <c r="G197" s="10"/>
      <c r="H197" s="10"/>
      <c r="I197" s="10"/>
      <c r="J197" s="10"/>
      <c r="K197" s="10"/>
      <c r="L197" s="19"/>
      <c r="M197" s="10"/>
      <c r="N197" s="19"/>
      <c r="O197" s="10"/>
      <c r="P197" s="10"/>
      <c r="Q197" s="10"/>
      <c r="R197" s="19"/>
      <c r="S197" s="10"/>
    </row>
    <row r="198" customFormat="false" ht="15" hidden="false" customHeight="false" outlineLevel="0" collapsed="false">
      <c r="A198" s="18"/>
      <c r="B198" s="19"/>
      <c r="C198" s="10"/>
      <c r="D198" s="10"/>
      <c r="E198" s="10"/>
      <c r="F198" s="10"/>
      <c r="G198" s="10"/>
      <c r="H198" s="10"/>
      <c r="I198" s="10"/>
      <c r="J198" s="10"/>
      <c r="K198" s="10"/>
      <c r="L198" s="19"/>
      <c r="M198" s="10"/>
      <c r="N198" s="19"/>
      <c r="O198" s="10"/>
      <c r="P198" s="10"/>
      <c r="Q198" s="10"/>
      <c r="R198" s="19"/>
      <c r="S198" s="10"/>
    </row>
    <row r="199" customFormat="false" ht="15" hidden="false" customHeight="false" outlineLevel="0" collapsed="false">
      <c r="A199" s="18"/>
      <c r="B199" s="19"/>
      <c r="C199" s="10"/>
      <c r="D199" s="10"/>
      <c r="E199" s="10"/>
      <c r="F199" s="10"/>
      <c r="G199" s="10"/>
      <c r="H199" s="10"/>
      <c r="I199" s="10"/>
      <c r="J199" s="10"/>
      <c r="K199" s="10"/>
      <c r="L199" s="19"/>
      <c r="M199" s="10"/>
      <c r="N199" s="19"/>
      <c r="O199" s="10"/>
      <c r="P199" s="10"/>
      <c r="Q199" s="10"/>
      <c r="R199" s="19"/>
      <c r="S199" s="10"/>
    </row>
    <row r="200" customFormat="false" ht="15" hidden="false" customHeight="false" outlineLevel="0" collapsed="false">
      <c r="A200" s="18"/>
      <c r="B200" s="19"/>
      <c r="C200" s="10"/>
      <c r="D200" s="10"/>
      <c r="E200" s="10"/>
      <c r="F200" s="10"/>
      <c r="G200" s="10"/>
      <c r="H200" s="10"/>
      <c r="I200" s="10"/>
      <c r="J200" s="10"/>
      <c r="K200" s="10"/>
      <c r="L200" s="19"/>
      <c r="M200" s="10"/>
      <c r="N200" s="19"/>
      <c r="O200" s="10"/>
      <c r="P200" s="10"/>
      <c r="Q200" s="10"/>
      <c r="R200" s="19"/>
      <c r="S200" s="10"/>
    </row>
    <row r="201" customFormat="false" ht="15" hidden="false" customHeight="false" outlineLevel="0" collapsed="false">
      <c r="A201" s="18"/>
      <c r="B201" s="19"/>
      <c r="C201" s="10"/>
      <c r="D201" s="10"/>
      <c r="E201" s="10"/>
      <c r="F201" s="10"/>
      <c r="G201" s="10"/>
      <c r="H201" s="10"/>
      <c r="I201" s="10"/>
      <c r="J201" s="10"/>
      <c r="K201" s="10"/>
      <c r="L201" s="19"/>
      <c r="M201" s="10"/>
      <c r="N201" s="19"/>
      <c r="O201" s="10"/>
      <c r="P201" s="10"/>
      <c r="Q201" s="10"/>
      <c r="R201" s="19"/>
      <c r="S201" s="10"/>
    </row>
    <row r="202" customFormat="false" ht="15" hidden="false" customHeight="false" outlineLevel="0" collapsed="false">
      <c r="A202" s="18"/>
      <c r="B202" s="19"/>
      <c r="C202" s="10"/>
      <c r="D202" s="10"/>
      <c r="E202" s="10"/>
      <c r="F202" s="10"/>
      <c r="G202" s="10"/>
      <c r="H202" s="10"/>
      <c r="I202" s="10"/>
      <c r="J202" s="10"/>
      <c r="K202" s="10"/>
      <c r="L202" s="19"/>
      <c r="M202" s="10"/>
      <c r="N202" s="19"/>
      <c r="O202" s="10"/>
      <c r="P202" s="10"/>
      <c r="Q202" s="10"/>
      <c r="R202" s="19"/>
      <c r="S202" s="10"/>
    </row>
    <row r="203" customFormat="false" ht="15" hidden="false" customHeight="false" outlineLevel="0" collapsed="false">
      <c r="A203" s="18"/>
      <c r="B203" s="19"/>
      <c r="C203" s="10"/>
      <c r="D203" s="10"/>
      <c r="E203" s="10"/>
      <c r="F203" s="10"/>
      <c r="G203" s="10"/>
      <c r="H203" s="10"/>
      <c r="I203" s="10"/>
      <c r="J203" s="10"/>
      <c r="K203" s="10"/>
      <c r="L203" s="19"/>
      <c r="M203" s="10"/>
      <c r="N203" s="19"/>
      <c r="O203" s="10"/>
      <c r="P203" s="10"/>
      <c r="Q203" s="10"/>
      <c r="R203" s="19"/>
      <c r="S203" s="10"/>
    </row>
    <row r="204" customFormat="false" ht="15" hidden="false" customHeight="false" outlineLevel="0" collapsed="false">
      <c r="A204" s="18"/>
      <c r="B204" s="19"/>
      <c r="C204" s="10"/>
      <c r="D204" s="10"/>
      <c r="E204" s="10"/>
      <c r="F204" s="10"/>
      <c r="G204" s="10"/>
      <c r="H204" s="10"/>
      <c r="I204" s="10"/>
      <c r="J204" s="10"/>
      <c r="K204" s="10"/>
      <c r="L204" s="19"/>
      <c r="M204" s="10"/>
      <c r="N204" s="19"/>
      <c r="O204" s="10"/>
      <c r="P204" s="10"/>
      <c r="Q204" s="10"/>
      <c r="R204" s="19"/>
      <c r="S204" s="10"/>
    </row>
  </sheetData>
  <mergeCells count="2">
    <mergeCell ref="A1:S1"/>
    <mergeCell ref="A2:S2"/>
  </mergeCells>
  <conditionalFormatting sqref="J5:J204">
    <cfRule type="expression" priority="2" aboveAverage="0" equalAverage="0" bottom="0" percent="0" rank="0" text="" dxfId="7">
      <formula>J5="Aprobada"</formula>
    </cfRule>
    <cfRule type="expression" priority="3" aboveAverage="0" equalAverage="0" bottom="0" percent="0" rank="0" text="" dxfId="9">
      <formula>J5="Rechazada"</formula>
    </cfRule>
    <cfRule type="expression" priority="4" aboveAverage="0" equalAverage="0" bottom="0" percent="0" rank="0" text="" dxfId="10">
      <formula>J5="Pendiente CCB"</formula>
    </cfRule>
    <cfRule type="expression" priority="5" aboveAverage="0" equalAverage="0" bottom="0" percent="0" rank="0" text="" dxfId="17">
      <formula>J5="Cerrada"</formula>
    </cfRule>
  </conditionalFormatting>
  <dataValidations count="5">
    <dataValidation allowBlank="false" errorStyle="stop" operator="between" showDropDown="false" showErrorMessage="false" showInputMessage="false" sqref="H5:H204" type="list">
      <formula1>"Obligatorio (Must),Importante (Should),Deseable (Could),Fuera ahora (Won't)"</formula1>
      <formula2>0</formula2>
    </dataValidation>
    <dataValidation allowBlank="false" errorStyle="stop" operator="between" showDropDown="false" showErrorMessage="false" showInputMessage="false" sqref="I5:I204" type="list">
      <formula1>"Sí,No"</formula1>
      <formula2>0</formula2>
    </dataValidation>
    <dataValidation allowBlank="false" errorStyle="stop" operator="between" showDropDown="false" showErrorMessage="false" showInputMessage="false" sqref="J5:J204" type="list">
      <formula1>"Registrada,En análisis,Pendiente CCB,Aprobada,Rechazada,Diferida,En implementación,En verificación,Cerrada"</formula1>
      <formula2>0</formula2>
    </dataValidation>
    <dataValidation allowBlank="false" errorStyle="stop" operator="between" showDropDown="false" showErrorMessage="false" showInputMessage="false" sqref="M5:M204" type="list">
      <formula1>"Aprobar,Rechazar,Diferir,Solicitar más información"</formula1>
      <formula2>0</formula2>
    </dataValidation>
    <dataValidation allowBlank="false" errorStyle="stop" operator="between" showDropDown="false" showErrorMessage="false" showInputMessage="false" sqref="Q5:Q204" type="list">
      <formula1>"Pendiente,En ejecución,Conforme,No conforme"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5" min="4" style="1" width="32"/>
    <col collapsed="false" customWidth="true" hidden="false" outlineLevel="0" max="6" min="6" style="1" width="28"/>
    <col collapsed="false" customWidth="true" hidden="false" outlineLevel="0" max="7" min="7" style="1" width="24"/>
    <col collapsed="false" customWidth="true" hidden="false" outlineLevel="0" max="8" min="8" style="1" width="30"/>
    <col collapsed="false" customWidth="true" hidden="false" outlineLevel="0" max="10" min="9" style="1" width="28"/>
    <col collapsed="false" customWidth="true" hidden="false" outlineLevel="0" max="12" min="11" style="1" width="16"/>
    <col collapsed="false" customWidth="true" hidden="false" outlineLevel="0" max="13" min="13" style="1" width="15"/>
    <col collapsed="false" customWidth="true" hidden="false" outlineLevel="0" max="15" min="14" style="1" width="18"/>
    <col collapsed="false" customWidth="true" hidden="false" outlineLevel="0" max="17" min="16" style="1" width="16"/>
    <col collapsed="false" customWidth="true" hidden="false" outlineLevel="0" max="19" min="18" style="1" width="20"/>
    <col collapsed="false" customWidth="true" hidden="false" outlineLevel="0" max="20" min="20" style="1" width="34"/>
    <col collapsed="false" customWidth="true" hidden="false" outlineLevel="0" max="21" min="21" style="1" width="36"/>
  </cols>
  <sheetData>
    <row r="1" customFormat="false" ht="30" hidden="false" customHeight="true" outlineLevel="0" collapsed="false">
      <c r="A1" s="2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3.75" hidden="false" customHeight="true" outlineLevel="0" collapsed="false">
      <c r="A2" s="3" t="s">
        <v>387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42" hidden="false" customHeight="true" outlineLevel="0" collapsed="false">
      <c r="A4" s="14" t="s">
        <v>360</v>
      </c>
      <c r="B4" s="9" t="s">
        <v>127</v>
      </c>
      <c r="C4" s="9" t="s">
        <v>388</v>
      </c>
      <c r="D4" s="9" t="s">
        <v>389</v>
      </c>
      <c r="E4" s="9" t="s">
        <v>390</v>
      </c>
      <c r="F4" s="9" t="s">
        <v>391</v>
      </c>
      <c r="G4" s="9" t="s">
        <v>392</v>
      </c>
      <c r="H4" s="9" t="s">
        <v>393</v>
      </c>
      <c r="I4" s="9" t="s">
        <v>394</v>
      </c>
      <c r="J4" s="9" t="s">
        <v>395</v>
      </c>
      <c r="K4" s="9" t="s">
        <v>396</v>
      </c>
      <c r="L4" s="9" t="s">
        <v>397</v>
      </c>
      <c r="M4" s="9" t="s">
        <v>398</v>
      </c>
      <c r="N4" s="9" t="s">
        <v>399</v>
      </c>
      <c r="O4" s="9" t="s">
        <v>400</v>
      </c>
      <c r="P4" s="9" t="s">
        <v>401</v>
      </c>
      <c r="Q4" s="9" t="s">
        <v>402</v>
      </c>
      <c r="R4" s="9" t="s">
        <v>403</v>
      </c>
      <c r="S4" s="9" t="s">
        <v>404</v>
      </c>
      <c r="T4" s="9" t="s">
        <v>405</v>
      </c>
      <c r="U4" s="9" t="s">
        <v>406</v>
      </c>
    </row>
    <row r="5" customFormat="false" ht="28.35" hidden="false" customHeight="false" outlineLevel="0" collapsed="false">
      <c r="A5" s="15" t="s">
        <v>376</v>
      </c>
      <c r="B5" s="16" t="s">
        <v>382</v>
      </c>
      <c r="C5" s="16" t="s">
        <v>407</v>
      </c>
      <c r="D5" s="16" t="s">
        <v>408</v>
      </c>
      <c r="E5" s="16" t="s">
        <v>409</v>
      </c>
      <c r="F5" s="16" t="s">
        <v>410</v>
      </c>
      <c r="G5" s="16" t="s">
        <v>411</v>
      </c>
      <c r="H5" s="16" t="s">
        <v>412</v>
      </c>
      <c r="I5" s="16" t="s">
        <v>413</v>
      </c>
      <c r="J5" s="16" t="s">
        <v>414</v>
      </c>
      <c r="K5" s="22" t="n">
        <v>48</v>
      </c>
      <c r="L5" s="23" t="n">
        <v>1200</v>
      </c>
      <c r="M5" s="22" t="n">
        <v>5</v>
      </c>
      <c r="N5" s="16" t="n">
        <v>3</v>
      </c>
      <c r="O5" s="16" t="n">
        <v>2</v>
      </c>
      <c r="P5" s="16" t="n">
        <v>4</v>
      </c>
      <c r="Q5" s="16" t="n">
        <v>4</v>
      </c>
      <c r="R5" s="24" t="n">
        <f aca="false">IF(A5="","",ROUND((N5+O5+MIN(K5/40,5)+MIN(M5/5,5))/4,1))</f>
        <v>1.8</v>
      </c>
      <c r="S5" s="24" t="n">
        <f aca="false">IF(A5="","",ROUND((P5+Q5)/2,1))</f>
        <v>4</v>
      </c>
      <c r="T5" s="16" t="s">
        <v>415</v>
      </c>
      <c r="U5" s="16" t="s">
        <v>416</v>
      </c>
    </row>
    <row r="6" customFormat="false" ht="15" hidden="false" customHeight="false" outlineLevel="0" collapsed="false">
      <c r="A6" s="18"/>
      <c r="B6" s="10"/>
      <c r="C6" s="10"/>
      <c r="D6" s="10"/>
      <c r="E6" s="10"/>
      <c r="F6" s="10"/>
      <c r="G6" s="10"/>
      <c r="H6" s="10"/>
      <c r="I6" s="10"/>
      <c r="J6" s="10"/>
      <c r="K6" s="25"/>
      <c r="L6" s="26"/>
      <c r="M6" s="25"/>
      <c r="N6" s="10"/>
      <c r="O6" s="10"/>
      <c r="P6" s="10"/>
      <c r="Q6" s="10"/>
      <c r="R6" s="27" t="str">
        <f aca="false">IF(A6="","",ROUND((N6+O6+MIN(K6/40,5)+MIN(M6/5,5))/4,1))</f>
        <v/>
      </c>
      <c r="S6" s="27" t="str">
        <f aca="false">IF(A6="","",ROUND((P6+Q6)/2,1))</f>
        <v/>
      </c>
      <c r="T6" s="10"/>
      <c r="U6" s="10"/>
    </row>
    <row r="7" customFormat="false" ht="15" hidden="false" customHeight="false" outlineLevel="0" collapsed="false">
      <c r="A7" s="18"/>
      <c r="B7" s="10"/>
      <c r="C7" s="10"/>
      <c r="D7" s="10"/>
      <c r="E7" s="10"/>
      <c r="F7" s="10"/>
      <c r="G7" s="10"/>
      <c r="H7" s="10"/>
      <c r="I7" s="10"/>
      <c r="J7" s="10"/>
      <c r="K7" s="25"/>
      <c r="L7" s="26"/>
      <c r="M7" s="25"/>
      <c r="N7" s="10"/>
      <c r="O7" s="10"/>
      <c r="P7" s="10"/>
      <c r="Q7" s="10"/>
      <c r="R7" s="27" t="str">
        <f aca="false">IF(A7="","",ROUND((N7+O7+MIN(K7/40,5)+MIN(M7/5,5))/4,1))</f>
        <v/>
      </c>
      <c r="S7" s="27" t="str">
        <f aca="false">IF(A7="","",ROUND((P7+Q7)/2,1))</f>
        <v/>
      </c>
      <c r="T7" s="10"/>
      <c r="U7" s="10"/>
    </row>
    <row r="8" customFormat="false" ht="15" hidden="false" customHeight="false" outlineLevel="0" collapsed="false">
      <c r="A8" s="18"/>
      <c r="B8" s="10"/>
      <c r="C8" s="10"/>
      <c r="D8" s="10"/>
      <c r="E8" s="10"/>
      <c r="F8" s="10"/>
      <c r="G8" s="10"/>
      <c r="H8" s="10"/>
      <c r="I8" s="10"/>
      <c r="J8" s="10"/>
      <c r="K8" s="25"/>
      <c r="L8" s="26"/>
      <c r="M8" s="25"/>
      <c r="N8" s="10"/>
      <c r="O8" s="10"/>
      <c r="P8" s="10"/>
      <c r="Q8" s="10"/>
      <c r="R8" s="27" t="str">
        <f aca="false">IF(A8="","",ROUND((N8+O8+MIN(K8/40,5)+MIN(M8/5,5))/4,1))</f>
        <v/>
      </c>
      <c r="S8" s="27" t="str">
        <f aca="false">IF(A8="","",ROUND((P8+Q8)/2,1))</f>
        <v/>
      </c>
      <c r="T8" s="10"/>
      <c r="U8" s="10"/>
    </row>
    <row r="9" customFormat="false" ht="15" hidden="false" customHeight="false" outlineLevel="0" collapsed="false">
      <c r="A9" s="18"/>
      <c r="B9" s="10"/>
      <c r="C9" s="10"/>
      <c r="D9" s="10"/>
      <c r="E9" s="10"/>
      <c r="F9" s="10"/>
      <c r="G9" s="10"/>
      <c r="H9" s="10"/>
      <c r="I9" s="10"/>
      <c r="J9" s="10"/>
      <c r="K9" s="25"/>
      <c r="L9" s="26"/>
      <c r="M9" s="25"/>
      <c r="N9" s="10"/>
      <c r="O9" s="10"/>
      <c r="P9" s="10"/>
      <c r="Q9" s="10"/>
      <c r="R9" s="27" t="str">
        <f aca="false">IF(A9="","",ROUND((N9+O9+MIN(K9/40,5)+MIN(M9/5,5))/4,1))</f>
        <v/>
      </c>
      <c r="S9" s="27" t="str">
        <f aca="false">IF(A9="","",ROUND((P9+Q9)/2,1))</f>
        <v/>
      </c>
      <c r="T9" s="10"/>
      <c r="U9" s="10"/>
    </row>
    <row r="10" customFormat="false" ht="15" hidden="false" customHeight="false" outlineLevel="0" collapsed="false">
      <c r="A10" s="18"/>
      <c r="B10" s="10"/>
      <c r="C10" s="10"/>
      <c r="D10" s="10"/>
      <c r="E10" s="10"/>
      <c r="F10" s="10"/>
      <c r="G10" s="10"/>
      <c r="H10" s="10"/>
      <c r="I10" s="10"/>
      <c r="J10" s="10"/>
      <c r="K10" s="25"/>
      <c r="L10" s="26"/>
      <c r="M10" s="25"/>
      <c r="N10" s="10"/>
      <c r="O10" s="10"/>
      <c r="P10" s="10"/>
      <c r="Q10" s="10"/>
      <c r="R10" s="27" t="str">
        <f aca="false">IF(A10="","",ROUND((N10+O10+MIN(K10/40,5)+MIN(M10/5,5))/4,1))</f>
        <v/>
      </c>
      <c r="S10" s="27" t="str">
        <f aca="false">IF(A10="","",ROUND((P10+Q10)/2,1))</f>
        <v/>
      </c>
      <c r="T10" s="10"/>
      <c r="U10" s="10"/>
    </row>
    <row r="11" customFormat="false" ht="15" hidden="false" customHeight="false" outlineLevel="0" collapsed="false">
      <c r="A11" s="18"/>
      <c r="B11" s="10"/>
      <c r="C11" s="10"/>
      <c r="D11" s="10"/>
      <c r="E11" s="10"/>
      <c r="F11" s="10"/>
      <c r="G11" s="10"/>
      <c r="H11" s="10"/>
      <c r="I11" s="10"/>
      <c r="J11" s="10"/>
      <c r="K11" s="25"/>
      <c r="L11" s="26"/>
      <c r="M11" s="25"/>
      <c r="N11" s="10"/>
      <c r="O11" s="10"/>
      <c r="P11" s="10"/>
      <c r="Q11" s="10"/>
      <c r="R11" s="27" t="str">
        <f aca="false">IF(A11="","",ROUND((N11+O11+MIN(K11/40,5)+MIN(M11/5,5))/4,1))</f>
        <v/>
      </c>
      <c r="S11" s="27" t="str">
        <f aca="false">IF(A11="","",ROUND((P11+Q11)/2,1))</f>
        <v/>
      </c>
      <c r="T11" s="10"/>
      <c r="U11" s="10"/>
    </row>
    <row r="12" customFormat="false" ht="15" hidden="false" customHeight="false" outlineLevel="0" collapsed="false">
      <c r="A12" s="18"/>
      <c r="B12" s="10"/>
      <c r="C12" s="10"/>
      <c r="D12" s="10"/>
      <c r="E12" s="10"/>
      <c r="F12" s="10"/>
      <c r="G12" s="10"/>
      <c r="H12" s="10"/>
      <c r="I12" s="10"/>
      <c r="J12" s="10"/>
      <c r="K12" s="25"/>
      <c r="L12" s="26"/>
      <c r="M12" s="25"/>
      <c r="N12" s="10"/>
      <c r="O12" s="10"/>
      <c r="P12" s="10"/>
      <c r="Q12" s="10"/>
      <c r="R12" s="27" t="str">
        <f aca="false">IF(A12="","",ROUND((N12+O12+MIN(K12/40,5)+MIN(M12/5,5))/4,1))</f>
        <v/>
      </c>
      <c r="S12" s="27" t="str">
        <f aca="false">IF(A12="","",ROUND((P12+Q12)/2,1))</f>
        <v/>
      </c>
      <c r="T12" s="10"/>
      <c r="U12" s="10"/>
    </row>
    <row r="13" customFormat="false" ht="15" hidden="false" customHeight="false" outlineLevel="0" collapsed="false">
      <c r="A13" s="18"/>
      <c r="B13" s="10"/>
      <c r="C13" s="10"/>
      <c r="D13" s="10"/>
      <c r="E13" s="10"/>
      <c r="F13" s="10"/>
      <c r="G13" s="10"/>
      <c r="H13" s="10"/>
      <c r="I13" s="10"/>
      <c r="J13" s="10"/>
      <c r="K13" s="25"/>
      <c r="L13" s="26"/>
      <c r="M13" s="25"/>
      <c r="N13" s="10"/>
      <c r="O13" s="10"/>
      <c r="P13" s="10"/>
      <c r="Q13" s="10"/>
      <c r="R13" s="27" t="str">
        <f aca="false">IF(A13="","",ROUND((N13+O13+MIN(K13/40,5)+MIN(M13/5,5))/4,1))</f>
        <v/>
      </c>
      <c r="S13" s="27" t="str">
        <f aca="false">IF(A13="","",ROUND((P13+Q13)/2,1))</f>
        <v/>
      </c>
      <c r="T13" s="10"/>
      <c r="U13" s="10"/>
    </row>
    <row r="14" customFormat="false" ht="15" hidden="false" customHeight="false" outlineLevel="0" collapsed="false">
      <c r="A14" s="18"/>
      <c r="B14" s="10"/>
      <c r="C14" s="10"/>
      <c r="D14" s="10"/>
      <c r="E14" s="10"/>
      <c r="F14" s="10"/>
      <c r="G14" s="10"/>
      <c r="H14" s="10"/>
      <c r="I14" s="10"/>
      <c r="J14" s="10"/>
      <c r="K14" s="25"/>
      <c r="L14" s="26"/>
      <c r="M14" s="25"/>
      <c r="N14" s="10"/>
      <c r="O14" s="10"/>
      <c r="P14" s="10"/>
      <c r="Q14" s="10"/>
      <c r="R14" s="27" t="str">
        <f aca="false">IF(A14="","",ROUND((N14+O14+MIN(K14/40,5)+MIN(M14/5,5))/4,1))</f>
        <v/>
      </c>
      <c r="S14" s="27" t="str">
        <f aca="false">IF(A14="","",ROUND((P14+Q14)/2,1))</f>
        <v/>
      </c>
      <c r="T14" s="10"/>
      <c r="U14" s="10"/>
    </row>
    <row r="15" customFormat="false" ht="15" hidden="false" customHeight="false" outlineLevel="0" collapsed="false">
      <c r="A15" s="18"/>
      <c r="B15" s="10"/>
      <c r="C15" s="10"/>
      <c r="D15" s="10"/>
      <c r="E15" s="10"/>
      <c r="F15" s="10"/>
      <c r="G15" s="10"/>
      <c r="H15" s="10"/>
      <c r="I15" s="10"/>
      <c r="J15" s="10"/>
      <c r="K15" s="25"/>
      <c r="L15" s="26"/>
      <c r="M15" s="25"/>
      <c r="N15" s="10"/>
      <c r="O15" s="10"/>
      <c r="P15" s="10"/>
      <c r="Q15" s="10"/>
      <c r="R15" s="27" t="str">
        <f aca="false">IF(A15="","",ROUND((N15+O15+MIN(K15/40,5)+MIN(M15/5,5))/4,1))</f>
        <v/>
      </c>
      <c r="S15" s="27" t="str">
        <f aca="false">IF(A15="","",ROUND((P15+Q15)/2,1))</f>
        <v/>
      </c>
      <c r="T15" s="10"/>
      <c r="U15" s="10"/>
    </row>
    <row r="16" customFormat="false" ht="15" hidden="false" customHeight="false" outlineLevel="0" collapsed="false">
      <c r="A16" s="18"/>
      <c r="B16" s="10"/>
      <c r="C16" s="10"/>
      <c r="D16" s="10"/>
      <c r="E16" s="10"/>
      <c r="F16" s="10"/>
      <c r="G16" s="10"/>
      <c r="H16" s="10"/>
      <c r="I16" s="10"/>
      <c r="J16" s="10"/>
      <c r="K16" s="25"/>
      <c r="L16" s="26"/>
      <c r="M16" s="25"/>
      <c r="N16" s="10"/>
      <c r="O16" s="10"/>
      <c r="P16" s="10"/>
      <c r="Q16" s="10"/>
      <c r="R16" s="27" t="str">
        <f aca="false">IF(A16="","",ROUND((N16+O16+MIN(K16/40,5)+MIN(M16/5,5))/4,1))</f>
        <v/>
      </c>
      <c r="S16" s="27" t="str">
        <f aca="false">IF(A16="","",ROUND((P16+Q16)/2,1))</f>
        <v/>
      </c>
      <c r="T16" s="10"/>
      <c r="U16" s="10"/>
    </row>
    <row r="17" customFormat="false" ht="15" hidden="false" customHeight="false" outlineLevel="0" collapsed="false">
      <c r="A17" s="18"/>
      <c r="B17" s="10"/>
      <c r="C17" s="10"/>
      <c r="D17" s="10"/>
      <c r="E17" s="10"/>
      <c r="F17" s="10"/>
      <c r="G17" s="10"/>
      <c r="H17" s="10"/>
      <c r="I17" s="10"/>
      <c r="J17" s="10"/>
      <c r="K17" s="25"/>
      <c r="L17" s="26"/>
      <c r="M17" s="25"/>
      <c r="N17" s="10"/>
      <c r="O17" s="10"/>
      <c r="P17" s="10"/>
      <c r="Q17" s="10"/>
      <c r="R17" s="27" t="str">
        <f aca="false">IF(A17="","",ROUND((N17+O17+MIN(K17/40,5)+MIN(M17/5,5))/4,1))</f>
        <v/>
      </c>
      <c r="S17" s="27" t="str">
        <f aca="false">IF(A17="","",ROUND((P17+Q17)/2,1))</f>
        <v/>
      </c>
      <c r="T17" s="10"/>
      <c r="U17" s="10"/>
    </row>
    <row r="18" customFormat="false" ht="15" hidden="false" customHeight="false" outlineLevel="0" collapsed="false">
      <c r="A18" s="18"/>
      <c r="B18" s="10"/>
      <c r="C18" s="10"/>
      <c r="D18" s="10"/>
      <c r="E18" s="10"/>
      <c r="F18" s="10"/>
      <c r="G18" s="10"/>
      <c r="H18" s="10"/>
      <c r="I18" s="10"/>
      <c r="J18" s="10"/>
      <c r="K18" s="25"/>
      <c r="L18" s="26"/>
      <c r="M18" s="25"/>
      <c r="N18" s="10"/>
      <c r="O18" s="10"/>
      <c r="P18" s="10"/>
      <c r="Q18" s="10"/>
      <c r="R18" s="27" t="str">
        <f aca="false">IF(A18="","",ROUND((N18+O18+MIN(K18/40,5)+MIN(M18/5,5))/4,1))</f>
        <v/>
      </c>
      <c r="S18" s="27" t="str">
        <f aca="false">IF(A18="","",ROUND((P18+Q18)/2,1))</f>
        <v/>
      </c>
      <c r="T18" s="10"/>
      <c r="U18" s="10"/>
    </row>
    <row r="19" customFormat="false" ht="15" hidden="false" customHeight="false" outlineLevel="0" collapsed="false">
      <c r="A19" s="18"/>
      <c r="B19" s="10"/>
      <c r="C19" s="10"/>
      <c r="D19" s="10"/>
      <c r="E19" s="10"/>
      <c r="F19" s="10"/>
      <c r="G19" s="10"/>
      <c r="H19" s="10"/>
      <c r="I19" s="10"/>
      <c r="J19" s="10"/>
      <c r="K19" s="25"/>
      <c r="L19" s="26"/>
      <c r="M19" s="25"/>
      <c r="N19" s="10"/>
      <c r="O19" s="10"/>
      <c r="P19" s="10"/>
      <c r="Q19" s="10"/>
      <c r="R19" s="27" t="str">
        <f aca="false">IF(A19="","",ROUND((N19+O19+MIN(K19/40,5)+MIN(M19/5,5))/4,1))</f>
        <v/>
      </c>
      <c r="S19" s="27" t="str">
        <f aca="false">IF(A19="","",ROUND((P19+Q19)/2,1))</f>
        <v/>
      </c>
      <c r="T19" s="10"/>
      <c r="U19" s="10"/>
    </row>
    <row r="20" customFormat="false" ht="15" hidden="false" customHeight="false" outlineLevel="0" collapsed="false">
      <c r="A20" s="18"/>
      <c r="B20" s="10"/>
      <c r="C20" s="10"/>
      <c r="D20" s="10"/>
      <c r="E20" s="10"/>
      <c r="F20" s="10"/>
      <c r="G20" s="10"/>
      <c r="H20" s="10"/>
      <c r="I20" s="10"/>
      <c r="J20" s="10"/>
      <c r="K20" s="25"/>
      <c r="L20" s="26"/>
      <c r="M20" s="25"/>
      <c r="N20" s="10"/>
      <c r="O20" s="10"/>
      <c r="P20" s="10"/>
      <c r="Q20" s="10"/>
      <c r="R20" s="27" t="str">
        <f aca="false">IF(A20="","",ROUND((N20+O20+MIN(K20/40,5)+MIN(M20/5,5))/4,1))</f>
        <v/>
      </c>
      <c r="S20" s="27" t="str">
        <f aca="false">IF(A20="","",ROUND((P20+Q20)/2,1))</f>
        <v/>
      </c>
      <c r="T20" s="10"/>
      <c r="U20" s="10"/>
    </row>
    <row r="21" customFormat="false" ht="15" hidden="false" customHeight="false" outlineLevel="0" collapsed="false">
      <c r="A21" s="18"/>
      <c r="B21" s="10"/>
      <c r="C21" s="10"/>
      <c r="D21" s="10"/>
      <c r="E21" s="10"/>
      <c r="F21" s="10"/>
      <c r="G21" s="10"/>
      <c r="H21" s="10"/>
      <c r="I21" s="10"/>
      <c r="J21" s="10"/>
      <c r="K21" s="25"/>
      <c r="L21" s="26"/>
      <c r="M21" s="25"/>
      <c r="N21" s="10"/>
      <c r="O21" s="10"/>
      <c r="P21" s="10"/>
      <c r="Q21" s="10"/>
      <c r="R21" s="27" t="str">
        <f aca="false">IF(A21="","",ROUND((N21+O21+MIN(K21/40,5)+MIN(M21/5,5))/4,1))</f>
        <v/>
      </c>
      <c r="S21" s="27" t="str">
        <f aca="false">IF(A21="","",ROUND((P21+Q21)/2,1))</f>
        <v/>
      </c>
      <c r="T21" s="10"/>
      <c r="U21" s="10"/>
    </row>
    <row r="22" customFormat="false" ht="15" hidden="false" customHeight="false" outlineLevel="0" collapsed="false">
      <c r="A22" s="18"/>
      <c r="B22" s="10"/>
      <c r="C22" s="10"/>
      <c r="D22" s="10"/>
      <c r="E22" s="10"/>
      <c r="F22" s="10"/>
      <c r="G22" s="10"/>
      <c r="H22" s="10"/>
      <c r="I22" s="10"/>
      <c r="J22" s="10"/>
      <c r="K22" s="25"/>
      <c r="L22" s="26"/>
      <c r="M22" s="25"/>
      <c r="N22" s="10"/>
      <c r="O22" s="10"/>
      <c r="P22" s="10"/>
      <c r="Q22" s="10"/>
      <c r="R22" s="27" t="str">
        <f aca="false">IF(A22="","",ROUND((N22+O22+MIN(K22/40,5)+MIN(M22/5,5))/4,1))</f>
        <v/>
      </c>
      <c r="S22" s="27" t="str">
        <f aca="false">IF(A22="","",ROUND((P22+Q22)/2,1))</f>
        <v/>
      </c>
      <c r="T22" s="10"/>
      <c r="U22" s="10"/>
    </row>
    <row r="23" customFormat="false" ht="15" hidden="false" customHeight="false" outlineLevel="0" collapsed="false">
      <c r="A23" s="18"/>
      <c r="B23" s="10"/>
      <c r="C23" s="10"/>
      <c r="D23" s="10"/>
      <c r="E23" s="10"/>
      <c r="F23" s="10"/>
      <c r="G23" s="10"/>
      <c r="H23" s="10"/>
      <c r="I23" s="10"/>
      <c r="J23" s="10"/>
      <c r="K23" s="25"/>
      <c r="L23" s="26"/>
      <c r="M23" s="25"/>
      <c r="N23" s="10"/>
      <c r="O23" s="10"/>
      <c r="P23" s="10"/>
      <c r="Q23" s="10"/>
      <c r="R23" s="27" t="str">
        <f aca="false">IF(A23="","",ROUND((N23+O23+MIN(K23/40,5)+MIN(M23/5,5))/4,1))</f>
        <v/>
      </c>
      <c r="S23" s="27" t="str">
        <f aca="false">IF(A23="","",ROUND((P23+Q23)/2,1))</f>
        <v/>
      </c>
      <c r="T23" s="10"/>
      <c r="U23" s="10"/>
    </row>
    <row r="24" customFormat="false" ht="15" hidden="false" customHeight="false" outlineLevel="0" collapsed="false">
      <c r="A24" s="18"/>
      <c r="B24" s="10"/>
      <c r="C24" s="10"/>
      <c r="D24" s="10"/>
      <c r="E24" s="10"/>
      <c r="F24" s="10"/>
      <c r="G24" s="10"/>
      <c r="H24" s="10"/>
      <c r="I24" s="10"/>
      <c r="J24" s="10"/>
      <c r="K24" s="25"/>
      <c r="L24" s="26"/>
      <c r="M24" s="25"/>
      <c r="N24" s="10"/>
      <c r="O24" s="10"/>
      <c r="P24" s="10"/>
      <c r="Q24" s="10"/>
      <c r="R24" s="27" t="str">
        <f aca="false">IF(A24="","",ROUND((N24+O24+MIN(K24/40,5)+MIN(M24/5,5))/4,1))</f>
        <v/>
      </c>
      <c r="S24" s="27" t="str">
        <f aca="false">IF(A24="","",ROUND((P24+Q24)/2,1))</f>
        <v/>
      </c>
      <c r="T24" s="10"/>
      <c r="U24" s="10"/>
    </row>
    <row r="25" customFormat="false" ht="15" hidden="false" customHeight="false" outlineLevel="0" collapsed="false">
      <c r="A25" s="18"/>
      <c r="B25" s="10"/>
      <c r="C25" s="10"/>
      <c r="D25" s="10"/>
      <c r="E25" s="10"/>
      <c r="F25" s="10"/>
      <c r="G25" s="10"/>
      <c r="H25" s="10"/>
      <c r="I25" s="10"/>
      <c r="J25" s="10"/>
      <c r="K25" s="25"/>
      <c r="L25" s="26"/>
      <c r="M25" s="25"/>
      <c r="N25" s="10"/>
      <c r="O25" s="10"/>
      <c r="P25" s="10"/>
      <c r="Q25" s="10"/>
      <c r="R25" s="27" t="str">
        <f aca="false">IF(A25="","",ROUND((N25+O25+MIN(K25/40,5)+MIN(M25/5,5))/4,1))</f>
        <v/>
      </c>
      <c r="S25" s="27" t="str">
        <f aca="false">IF(A25="","",ROUND((P25+Q25)/2,1))</f>
        <v/>
      </c>
      <c r="T25" s="10"/>
      <c r="U25" s="10"/>
    </row>
    <row r="26" customFormat="false" ht="15" hidden="false" customHeight="false" outlineLevel="0" collapsed="false">
      <c r="A26" s="18"/>
      <c r="B26" s="10"/>
      <c r="C26" s="10"/>
      <c r="D26" s="10"/>
      <c r="E26" s="10"/>
      <c r="F26" s="10"/>
      <c r="G26" s="10"/>
      <c r="H26" s="10"/>
      <c r="I26" s="10"/>
      <c r="J26" s="10"/>
      <c r="K26" s="25"/>
      <c r="L26" s="26"/>
      <c r="M26" s="25"/>
      <c r="N26" s="10"/>
      <c r="O26" s="10"/>
      <c r="P26" s="10"/>
      <c r="Q26" s="10"/>
      <c r="R26" s="27" t="str">
        <f aca="false">IF(A26="","",ROUND((N26+O26+MIN(K26/40,5)+MIN(M26/5,5))/4,1))</f>
        <v/>
      </c>
      <c r="S26" s="27" t="str">
        <f aca="false">IF(A26="","",ROUND((P26+Q26)/2,1))</f>
        <v/>
      </c>
      <c r="T26" s="10"/>
      <c r="U26" s="10"/>
    </row>
    <row r="27" customFormat="false" ht="15" hidden="false" customHeight="false" outlineLevel="0" collapsed="false">
      <c r="A27" s="18"/>
      <c r="B27" s="10"/>
      <c r="C27" s="10"/>
      <c r="D27" s="10"/>
      <c r="E27" s="10"/>
      <c r="F27" s="10"/>
      <c r="G27" s="10"/>
      <c r="H27" s="10"/>
      <c r="I27" s="10"/>
      <c r="J27" s="10"/>
      <c r="K27" s="25"/>
      <c r="L27" s="26"/>
      <c r="M27" s="25"/>
      <c r="N27" s="10"/>
      <c r="O27" s="10"/>
      <c r="P27" s="10"/>
      <c r="Q27" s="10"/>
      <c r="R27" s="27" t="str">
        <f aca="false">IF(A27="","",ROUND((N27+O27+MIN(K27/40,5)+MIN(M27/5,5))/4,1))</f>
        <v/>
      </c>
      <c r="S27" s="27" t="str">
        <f aca="false">IF(A27="","",ROUND((P27+Q27)/2,1))</f>
        <v/>
      </c>
      <c r="T27" s="10"/>
      <c r="U27" s="10"/>
    </row>
    <row r="28" customFormat="false" ht="15" hidden="false" customHeight="false" outlineLevel="0" collapsed="false">
      <c r="A28" s="18"/>
      <c r="B28" s="10"/>
      <c r="C28" s="10"/>
      <c r="D28" s="10"/>
      <c r="E28" s="10"/>
      <c r="F28" s="10"/>
      <c r="G28" s="10"/>
      <c r="H28" s="10"/>
      <c r="I28" s="10"/>
      <c r="J28" s="10"/>
      <c r="K28" s="25"/>
      <c r="L28" s="26"/>
      <c r="M28" s="25"/>
      <c r="N28" s="10"/>
      <c r="O28" s="10"/>
      <c r="P28" s="10"/>
      <c r="Q28" s="10"/>
      <c r="R28" s="27" t="str">
        <f aca="false">IF(A28="","",ROUND((N28+O28+MIN(K28/40,5)+MIN(M28/5,5))/4,1))</f>
        <v/>
      </c>
      <c r="S28" s="27" t="str">
        <f aca="false">IF(A28="","",ROUND((P28+Q28)/2,1))</f>
        <v/>
      </c>
      <c r="T28" s="10"/>
      <c r="U28" s="10"/>
    </row>
    <row r="29" customFormat="false" ht="15" hidden="false" customHeight="false" outlineLevel="0" collapsed="false">
      <c r="A29" s="18"/>
      <c r="B29" s="10"/>
      <c r="C29" s="10"/>
      <c r="D29" s="10"/>
      <c r="E29" s="10"/>
      <c r="F29" s="10"/>
      <c r="G29" s="10"/>
      <c r="H29" s="10"/>
      <c r="I29" s="10"/>
      <c r="J29" s="10"/>
      <c r="K29" s="25"/>
      <c r="L29" s="26"/>
      <c r="M29" s="25"/>
      <c r="N29" s="10"/>
      <c r="O29" s="10"/>
      <c r="P29" s="10"/>
      <c r="Q29" s="10"/>
      <c r="R29" s="27" t="str">
        <f aca="false">IF(A29="","",ROUND((N29+O29+MIN(K29/40,5)+MIN(M29/5,5))/4,1))</f>
        <v/>
      </c>
      <c r="S29" s="27" t="str">
        <f aca="false">IF(A29="","",ROUND((P29+Q29)/2,1))</f>
        <v/>
      </c>
      <c r="T29" s="10"/>
      <c r="U29" s="10"/>
    </row>
    <row r="30" customFormat="false" ht="15" hidden="false" customHeight="false" outlineLevel="0" collapsed="false">
      <c r="A30" s="18"/>
      <c r="B30" s="10"/>
      <c r="C30" s="10"/>
      <c r="D30" s="10"/>
      <c r="E30" s="10"/>
      <c r="F30" s="10"/>
      <c r="G30" s="10"/>
      <c r="H30" s="10"/>
      <c r="I30" s="10"/>
      <c r="J30" s="10"/>
      <c r="K30" s="25"/>
      <c r="L30" s="26"/>
      <c r="M30" s="25"/>
      <c r="N30" s="10"/>
      <c r="O30" s="10"/>
      <c r="P30" s="10"/>
      <c r="Q30" s="10"/>
      <c r="R30" s="27" t="str">
        <f aca="false">IF(A30="","",ROUND((N30+O30+MIN(K30/40,5)+MIN(M30/5,5))/4,1))</f>
        <v/>
      </c>
      <c r="S30" s="27" t="str">
        <f aca="false">IF(A30="","",ROUND((P30+Q30)/2,1))</f>
        <v/>
      </c>
      <c r="T30" s="10"/>
      <c r="U30" s="10"/>
    </row>
    <row r="31" customFormat="false" ht="15" hidden="false" customHeight="false" outlineLevel="0" collapsed="false">
      <c r="A31" s="18"/>
      <c r="B31" s="10"/>
      <c r="C31" s="10"/>
      <c r="D31" s="10"/>
      <c r="E31" s="10"/>
      <c r="F31" s="10"/>
      <c r="G31" s="10"/>
      <c r="H31" s="10"/>
      <c r="I31" s="10"/>
      <c r="J31" s="10"/>
      <c r="K31" s="25"/>
      <c r="L31" s="26"/>
      <c r="M31" s="25"/>
      <c r="N31" s="10"/>
      <c r="O31" s="10"/>
      <c r="P31" s="10"/>
      <c r="Q31" s="10"/>
      <c r="R31" s="27" t="str">
        <f aca="false">IF(A31="","",ROUND((N31+O31+MIN(K31/40,5)+MIN(M31/5,5))/4,1))</f>
        <v/>
      </c>
      <c r="S31" s="27" t="str">
        <f aca="false">IF(A31="","",ROUND((P31+Q31)/2,1))</f>
        <v/>
      </c>
      <c r="T31" s="10"/>
      <c r="U31" s="10"/>
    </row>
    <row r="32" customFormat="false" ht="15" hidden="false" customHeight="false" outlineLevel="0" collapsed="false">
      <c r="A32" s="18"/>
      <c r="B32" s="10"/>
      <c r="C32" s="10"/>
      <c r="D32" s="10"/>
      <c r="E32" s="10"/>
      <c r="F32" s="10"/>
      <c r="G32" s="10"/>
      <c r="H32" s="10"/>
      <c r="I32" s="10"/>
      <c r="J32" s="10"/>
      <c r="K32" s="25"/>
      <c r="L32" s="26"/>
      <c r="M32" s="25"/>
      <c r="N32" s="10"/>
      <c r="O32" s="10"/>
      <c r="P32" s="10"/>
      <c r="Q32" s="10"/>
      <c r="R32" s="27" t="str">
        <f aca="false">IF(A32="","",ROUND((N32+O32+MIN(K32/40,5)+MIN(M32/5,5))/4,1))</f>
        <v/>
      </c>
      <c r="S32" s="27" t="str">
        <f aca="false">IF(A32="","",ROUND((P32+Q32)/2,1))</f>
        <v/>
      </c>
      <c r="T32" s="10"/>
      <c r="U32" s="10"/>
    </row>
    <row r="33" customFormat="false" ht="15" hidden="false" customHeight="false" outlineLevel="0" collapsed="false">
      <c r="A33" s="18"/>
      <c r="B33" s="10"/>
      <c r="C33" s="10"/>
      <c r="D33" s="10"/>
      <c r="E33" s="10"/>
      <c r="F33" s="10"/>
      <c r="G33" s="10"/>
      <c r="H33" s="10"/>
      <c r="I33" s="10"/>
      <c r="J33" s="10"/>
      <c r="K33" s="25"/>
      <c r="L33" s="26"/>
      <c r="M33" s="25"/>
      <c r="N33" s="10"/>
      <c r="O33" s="10"/>
      <c r="P33" s="10"/>
      <c r="Q33" s="10"/>
      <c r="R33" s="27" t="str">
        <f aca="false">IF(A33="","",ROUND((N33+O33+MIN(K33/40,5)+MIN(M33/5,5))/4,1))</f>
        <v/>
      </c>
      <c r="S33" s="27" t="str">
        <f aca="false">IF(A33="","",ROUND((P33+Q33)/2,1))</f>
        <v/>
      </c>
      <c r="T33" s="10"/>
      <c r="U33" s="10"/>
    </row>
    <row r="34" customFormat="false" ht="15" hidden="false" customHeight="false" outlineLevel="0" collapsed="false">
      <c r="A34" s="18"/>
      <c r="B34" s="10"/>
      <c r="C34" s="10"/>
      <c r="D34" s="10"/>
      <c r="E34" s="10"/>
      <c r="F34" s="10"/>
      <c r="G34" s="10"/>
      <c r="H34" s="10"/>
      <c r="I34" s="10"/>
      <c r="J34" s="10"/>
      <c r="K34" s="25"/>
      <c r="L34" s="26"/>
      <c r="M34" s="25"/>
      <c r="N34" s="10"/>
      <c r="O34" s="10"/>
      <c r="P34" s="10"/>
      <c r="Q34" s="10"/>
      <c r="R34" s="27" t="str">
        <f aca="false">IF(A34="","",ROUND((N34+O34+MIN(K34/40,5)+MIN(M34/5,5))/4,1))</f>
        <v/>
      </c>
      <c r="S34" s="27" t="str">
        <f aca="false">IF(A34="","",ROUND((P34+Q34)/2,1))</f>
        <v/>
      </c>
      <c r="T34" s="10"/>
      <c r="U34" s="10"/>
    </row>
    <row r="35" customFormat="false" ht="15" hidden="false" customHeight="false" outlineLevel="0" collapsed="false">
      <c r="A35" s="18"/>
      <c r="B35" s="10"/>
      <c r="C35" s="10"/>
      <c r="D35" s="10"/>
      <c r="E35" s="10"/>
      <c r="F35" s="10"/>
      <c r="G35" s="10"/>
      <c r="H35" s="10"/>
      <c r="I35" s="10"/>
      <c r="J35" s="10"/>
      <c r="K35" s="25"/>
      <c r="L35" s="26"/>
      <c r="M35" s="25"/>
      <c r="N35" s="10"/>
      <c r="O35" s="10"/>
      <c r="P35" s="10"/>
      <c r="Q35" s="10"/>
      <c r="R35" s="27" t="str">
        <f aca="false">IF(A35="","",ROUND((N35+O35+MIN(K35/40,5)+MIN(M35/5,5))/4,1))</f>
        <v/>
      </c>
      <c r="S35" s="27" t="str">
        <f aca="false">IF(A35="","",ROUND((P35+Q35)/2,1))</f>
        <v/>
      </c>
      <c r="T35" s="10"/>
      <c r="U35" s="10"/>
    </row>
    <row r="36" customFormat="false" ht="15" hidden="false" customHeight="false" outlineLevel="0" collapsed="false">
      <c r="A36" s="18"/>
      <c r="B36" s="10"/>
      <c r="C36" s="10"/>
      <c r="D36" s="10"/>
      <c r="E36" s="10"/>
      <c r="F36" s="10"/>
      <c r="G36" s="10"/>
      <c r="H36" s="10"/>
      <c r="I36" s="10"/>
      <c r="J36" s="10"/>
      <c r="K36" s="25"/>
      <c r="L36" s="26"/>
      <c r="M36" s="25"/>
      <c r="N36" s="10"/>
      <c r="O36" s="10"/>
      <c r="P36" s="10"/>
      <c r="Q36" s="10"/>
      <c r="R36" s="27" t="str">
        <f aca="false">IF(A36="","",ROUND((N36+O36+MIN(K36/40,5)+MIN(M36/5,5))/4,1))</f>
        <v/>
      </c>
      <c r="S36" s="27" t="str">
        <f aca="false">IF(A36="","",ROUND((P36+Q36)/2,1))</f>
        <v/>
      </c>
      <c r="T36" s="10"/>
      <c r="U36" s="10"/>
    </row>
    <row r="37" customFormat="false" ht="15" hidden="false" customHeight="false" outlineLevel="0" collapsed="false">
      <c r="A37" s="18"/>
      <c r="B37" s="10"/>
      <c r="C37" s="10"/>
      <c r="D37" s="10"/>
      <c r="E37" s="10"/>
      <c r="F37" s="10"/>
      <c r="G37" s="10"/>
      <c r="H37" s="10"/>
      <c r="I37" s="10"/>
      <c r="J37" s="10"/>
      <c r="K37" s="25"/>
      <c r="L37" s="26"/>
      <c r="M37" s="25"/>
      <c r="N37" s="10"/>
      <c r="O37" s="10"/>
      <c r="P37" s="10"/>
      <c r="Q37" s="10"/>
      <c r="R37" s="27" t="str">
        <f aca="false">IF(A37="","",ROUND((N37+O37+MIN(K37/40,5)+MIN(M37/5,5))/4,1))</f>
        <v/>
      </c>
      <c r="S37" s="27" t="str">
        <f aca="false">IF(A37="","",ROUND((P37+Q37)/2,1))</f>
        <v/>
      </c>
      <c r="T37" s="10"/>
      <c r="U37" s="10"/>
    </row>
    <row r="38" customFormat="false" ht="15" hidden="false" customHeight="false" outlineLevel="0" collapsed="false">
      <c r="A38" s="18"/>
      <c r="B38" s="10"/>
      <c r="C38" s="10"/>
      <c r="D38" s="10"/>
      <c r="E38" s="10"/>
      <c r="F38" s="10"/>
      <c r="G38" s="10"/>
      <c r="H38" s="10"/>
      <c r="I38" s="10"/>
      <c r="J38" s="10"/>
      <c r="K38" s="25"/>
      <c r="L38" s="26"/>
      <c r="M38" s="25"/>
      <c r="N38" s="10"/>
      <c r="O38" s="10"/>
      <c r="P38" s="10"/>
      <c r="Q38" s="10"/>
      <c r="R38" s="27" t="str">
        <f aca="false">IF(A38="","",ROUND((N38+O38+MIN(K38/40,5)+MIN(M38/5,5))/4,1))</f>
        <v/>
      </c>
      <c r="S38" s="27" t="str">
        <f aca="false">IF(A38="","",ROUND((P38+Q38)/2,1))</f>
        <v/>
      </c>
      <c r="T38" s="10"/>
      <c r="U38" s="10"/>
    </row>
    <row r="39" customFormat="false" ht="15" hidden="false" customHeight="false" outlineLevel="0" collapsed="false">
      <c r="A39" s="18"/>
      <c r="B39" s="10"/>
      <c r="C39" s="10"/>
      <c r="D39" s="10"/>
      <c r="E39" s="10"/>
      <c r="F39" s="10"/>
      <c r="G39" s="10"/>
      <c r="H39" s="10"/>
      <c r="I39" s="10"/>
      <c r="J39" s="10"/>
      <c r="K39" s="25"/>
      <c r="L39" s="26"/>
      <c r="M39" s="25"/>
      <c r="N39" s="10"/>
      <c r="O39" s="10"/>
      <c r="P39" s="10"/>
      <c r="Q39" s="10"/>
      <c r="R39" s="27" t="str">
        <f aca="false">IF(A39="","",ROUND((N39+O39+MIN(K39/40,5)+MIN(M39/5,5))/4,1))</f>
        <v/>
      </c>
      <c r="S39" s="27" t="str">
        <f aca="false">IF(A39="","",ROUND((P39+Q39)/2,1))</f>
        <v/>
      </c>
      <c r="T39" s="10"/>
      <c r="U39" s="10"/>
    </row>
    <row r="40" customFormat="false" ht="15" hidden="false" customHeight="false" outlineLevel="0" collapsed="false">
      <c r="A40" s="18"/>
      <c r="B40" s="10"/>
      <c r="C40" s="10"/>
      <c r="D40" s="10"/>
      <c r="E40" s="10"/>
      <c r="F40" s="10"/>
      <c r="G40" s="10"/>
      <c r="H40" s="10"/>
      <c r="I40" s="10"/>
      <c r="J40" s="10"/>
      <c r="K40" s="25"/>
      <c r="L40" s="26"/>
      <c r="M40" s="25"/>
      <c r="N40" s="10"/>
      <c r="O40" s="10"/>
      <c r="P40" s="10"/>
      <c r="Q40" s="10"/>
      <c r="R40" s="27" t="str">
        <f aca="false">IF(A40="","",ROUND((N40+O40+MIN(K40/40,5)+MIN(M40/5,5))/4,1))</f>
        <v/>
      </c>
      <c r="S40" s="27" t="str">
        <f aca="false">IF(A40="","",ROUND((P40+Q40)/2,1))</f>
        <v/>
      </c>
      <c r="T40" s="10"/>
      <c r="U40" s="10"/>
    </row>
    <row r="41" customFormat="false" ht="15" hidden="false" customHeight="false" outlineLevel="0" collapsed="false">
      <c r="A41" s="18"/>
      <c r="B41" s="10"/>
      <c r="C41" s="10"/>
      <c r="D41" s="10"/>
      <c r="E41" s="10"/>
      <c r="F41" s="10"/>
      <c r="G41" s="10"/>
      <c r="H41" s="10"/>
      <c r="I41" s="10"/>
      <c r="J41" s="10"/>
      <c r="K41" s="25"/>
      <c r="L41" s="26"/>
      <c r="M41" s="25"/>
      <c r="N41" s="10"/>
      <c r="O41" s="10"/>
      <c r="P41" s="10"/>
      <c r="Q41" s="10"/>
      <c r="R41" s="27" t="str">
        <f aca="false">IF(A41="","",ROUND((N41+O41+MIN(K41/40,5)+MIN(M41/5,5))/4,1))</f>
        <v/>
      </c>
      <c r="S41" s="27" t="str">
        <f aca="false">IF(A41="","",ROUND((P41+Q41)/2,1))</f>
        <v/>
      </c>
      <c r="T41" s="10"/>
      <c r="U41" s="10"/>
    </row>
    <row r="42" customFormat="false" ht="15" hidden="false" customHeight="false" outlineLevel="0" collapsed="false">
      <c r="A42" s="18"/>
      <c r="B42" s="10"/>
      <c r="C42" s="10"/>
      <c r="D42" s="10"/>
      <c r="E42" s="10"/>
      <c r="F42" s="10"/>
      <c r="G42" s="10"/>
      <c r="H42" s="10"/>
      <c r="I42" s="10"/>
      <c r="J42" s="10"/>
      <c r="K42" s="25"/>
      <c r="L42" s="26"/>
      <c r="M42" s="25"/>
      <c r="N42" s="10"/>
      <c r="O42" s="10"/>
      <c r="P42" s="10"/>
      <c r="Q42" s="10"/>
      <c r="R42" s="27" t="str">
        <f aca="false">IF(A42="","",ROUND((N42+O42+MIN(K42/40,5)+MIN(M42/5,5))/4,1))</f>
        <v/>
      </c>
      <c r="S42" s="27" t="str">
        <f aca="false">IF(A42="","",ROUND((P42+Q42)/2,1))</f>
        <v/>
      </c>
      <c r="T42" s="10"/>
      <c r="U42" s="10"/>
    </row>
    <row r="43" customFormat="false" ht="15" hidden="false" customHeight="false" outlineLevel="0" collapsed="false">
      <c r="A43" s="18"/>
      <c r="B43" s="10"/>
      <c r="C43" s="10"/>
      <c r="D43" s="10"/>
      <c r="E43" s="10"/>
      <c r="F43" s="10"/>
      <c r="G43" s="10"/>
      <c r="H43" s="10"/>
      <c r="I43" s="10"/>
      <c r="J43" s="10"/>
      <c r="K43" s="25"/>
      <c r="L43" s="26"/>
      <c r="M43" s="25"/>
      <c r="N43" s="10"/>
      <c r="O43" s="10"/>
      <c r="P43" s="10"/>
      <c r="Q43" s="10"/>
      <c r="R43" s="27" t="str">
        <f aca="false">IF(A43="","",ROUND((N43+O43+MIN(K43/40,5)+MIN(M43/5,5))/4,1))</f>
        <v/>
      </c>
      <c r="S43" s="27" t="str">
        <f aca="false">IF(A43="","",ROUND((P43+Q43)/2,1))</f>
        <v/>
      </c>
      <c r="T43" s="10"/>
      <c r="U43" s="10"/>
    </row>
    <row r="44" customFormat="false" ht="15" hidden="false" customHeight="false" outlineLevel="0" collapsed="false">
      <c r="A44" s="18"/>
      <c r="B44" s="10"/>
      <c r="C44" s="10"/>
      <c r="D44" s="10"/>
      <c r="E44" s="10"/>
      <c r="F44" s="10"/>
      <c r="G44" s="10"/>
      <c r="H44" s="10"/>
      <c r="I44" s="10"/>
      <c r="J44" s="10"/>
      <c r="K44" s="25"/>
      <c r="L44" s="26"/>
      <c r="M44" s="25"/>
      <c r="N44" s="10"/>
      <c r="O44" s="10"/>
      <c r="P44" s="10"/>
      <c r="Q44" s="10"/>
      <c r="R44" s="27" t="str">
        <f aca="false">IF(A44="","",ROUND((N44+O44+MIN(K44/40,5)+MIN(M44/5,5))/4,1))</f>
        <v/>
      </c>
      <c r="S44" s="27" t="str">
        <f aca="false">IF(A44="","",ROUND((P44+Q44)/2,1))</f>
        <v/>
      </c>
      <c r="T44" s="10"/>
      <c r="U44" s="10"/>
    </row>
    <row r="45" customFormat="false" ht="15" hidden="false" customHeight="false" outlineLevel="0" collapsed="false">
      <c r="A45" s="18"/>
      <c r="B45" s="10"/>
      <c r="C45" s="10"/>
      <c r="D45" s="10"/>
      <c r="E45" s="10"/>
      <c r="F45" s="10"/>
      <c r="G45" s="10"/>
      <c r="H45" s="10"/>
      <c r="I45" s="10"/>
      <c r="J45" s="10"/>
      <c r="K45" s="25"/>
      <c r="L45" s="26"/>
      <c r="M45" s="25"/>
      <c r="N45" s="10"/>
      <c r="O45" s="10"/>
      <c r="P45" s="10"/>
      <c r="Q45" s="10"/>
      <c r="R45" s="27" t="str">
        <f aca="false">IF(A45="","",ROUND((N45+O45+MIN(K45/40,5)+MIN(M45/5,5))/4,1))</f>
        <v/>
      </c>
      <c r="S45" s="27" t="str">
        <f aca="false">IF(A45="","",ROUND((P45+Q45)/2,1))</f>
        <v/>
      </c>
      <c r="T45" s="10"/>
      <c r="U45" s="10"/>
    </row>
    <row r="46" customFormat="false" ht="15" hidden="false" customHeight="false" outlineLevel="0" collapsed="false">
      <c r="A46" s="18"/>
      <c r="B46" s="10"/>
      <c r="C46" s="10"/>
      <c r="D46" s="10"/>
      <c r="E46" s="10"/>
      <c r="F46" s="10"/>
      <c r="G46" s="10"/>
      <c r="H46" s="10"/>
      <c r="I46" s="10"/>
      <c r="J46" s="10"/>
      <c r="K46" s="25"/>
      <c r="L46" s="26"/>
      <c r="M46" s="25"/>
      <c r="N46" s="10"/>
      <c r="O46" s="10"/>
      <c r="P46" s="10"/>
      <c r="Q46" s="10"/>
      <c r="R46" s="27" t="str">
        <f aca="false">IF(A46="","",ROUND((N46+O46+MIN(K46/40,5)+MIN(M46/5,5))/4,1))</f>
        <v/>
      </c>
      <c r="S46" s="27" t="str">
        <f aca="false">IF(A46="","",ROUND((P46+Q46)/2,1))</f>
        <v/>
      </c>
      <c r="T46" s="10"/>
      <c r="U46" s="10"/>
    </row>
    <row r="47" customFormat="false" ht="15" hidden="false" customHeight="false" outlineLevel="0" collapsed="false">
      <c r="A47" s="18"/>
      <c r="B47" s="10"/>
      <c r="C47" s="10"/>
      <c r="D47" s="10"/>
      <c r="E47" s="10"/>
      <c r="F47" s="10"/>
      <c r="G47" s="10"/>
      <c r="H47" s="10"/>
      <c r="I47" s="10"/>
      <c r="J47" s="10"/>
      <c r="K47" s="25"/>
      <c r="L47" s="26"/>
      <c r="M47" s="25"/>
      <c r="N47" s="10"/>
      <c r="O47" s="10"/>
      <c r="P47" s="10"/>
      <c r="Q47" s="10"/>
      <c r="R47" s="27" t="str">
        <f aca="false">IF(A47="","",ROUND((N47+O47+MIN(K47/40,5)+MIN(M47/5,5))/4,1))</f>
        <v/>
      </c>
      <c r="S47" s="27" t="str">
        <f aca="false">IF(A47="","",ROUND((P47+Q47)/2,1))</f>
        <v/>
      </c>
      <c r="T47" s="10"/>
      <c r="U47" s="10"/>
    </row>
    <row r="48" customFormat="false" ht="15" hidden="false" customHeight="false" outlineLevel="0" collapsed="false">
      <c r="A48" s="18"/>
      <c r="B48" s="10"/>
      <c r="C48" s="10"/>
      <c r="D48" s="10"/>
      <c r="E48" s="10"/>
      <c r="F48" s="10"/>
      <c r="G48" s="10"/>
      <c r="H48" s="10"/>
      <c r="I48" s="10"/>
      <c r="J48" s="10"/>
      <c r="K48" s="25"/>
      <c r="L48" s="26"/>
      <c r="M48" s="25"/>
      <c r="N48" s="10"/>
      <c r="O48" s="10"/>
      <c r="P48" s="10"/>
      <c r="Q48" s="10"/>
      <c r="R48" s="27" t="str">
        <f aca="false">IF(A48="","",ROUND((N48+O48+MIN(K48/40,5)+MIN(M48/5,5))/4,1))</f>
        <v/>
      </c>
      <c r="S48" s="27" t="str">
        <f aca="false">IF(A48="","",ROUND((P48+Q48)/2,1))</f>
        <v/>
      </c>
      <c r="T48" s="10"/>
      <c r="U48" s="10"/>
    </row>
    <row r="49" customFormat="false" ht="15" hidden="false" customHeight="false" outlineLevel="0" collapsed="false">
      <c r="A49" s="18"/>
      <c r="B49" s="10"/>
      <c r="C49" s="10"/>
      <c r="D49" s="10"/>
      <c r="E49" s="10"/>
      <c r="F49" s="10"/>
      <c r="G49" s="10"/>
      <c r="H49" s="10"/>
      <c r="I49" s="10"/>
      <c r="J49" s="10"/>
      <c r="K49" s="25"/>
      <c r="L49" s="26"/>
      <c r="M49" s="25"/>
      <c r="N49" s="10"/>
      <c r="O49" s="10"/>
      <c r="P49" s="10"/>
      <c r="Q49" s="10"/>
      <c r="R49" s="27" t="str">
        <f aca="false">IF(A49="","",ROUND((N49+O49+MIN(K49/40,5)+MIN(M49/5,5))/4,1))</f>
        <v/>
      </c>
      <c r="S49" s="27" t="str">
        <f aca="false">IF(A49="","",ROUND((P49+Q49)/2,1))</f>
        <v/>
      </c>
      <c r="T49" s="10"/>
      <c r="U49" s="10"/>
    </row>
    <row r="50" customFormat="false" ht="15" hidden="false" customHeight="false" outlineLevel="0" collapsed="false">
      <c r="A50" s="18"/>
      <c r="B50" s="10"/>
      <c r="C50" s="10"/>
      <c r="D50" s="10"/>
      <c r="E50" s="10"/>
      <c r="F50" s="10"/>
      <c r="G50" s="10"/>
      <c r="H50" s="10"/>
      <c r="I50" s="10"/>
      <c r="J50" s="10"/>
      <c r="K50" s="25"/>
      <c r="L50" s="26"/>
      <c r="M50" s="25"/>
      <c r="N50" s="10"/>
      <c r="O50" s="10"/>
      <c r="P50" s="10"/>
      <c r="Q50" s="10"/>
      <c r="R50" s="27" t="str">
        <f aca="false">IF(A50="","",ROUND((N50+O50+MIN(K50/40,5)+MIN(M50/5,5))/4,1))</f>
        <v/>
      </c>
      <c r="S50" s="27" t="str">
        <f aca="false">IF(A50="","",ROUND((P50+Q50)/2,1))</f>
        <v/>
      </c>
      <c r="T50" s="10"/>
      <c r="U50" s="10"/>
    </row>
    <row r="51" customFormat="false" ht="15" hidden="false" customHeight="false" outlineLevel="0" collapsed="false">
      <c r="A51" s="18"/>
      <c r="B51" s="10"/>
      <c r="C51" s="10"/>
      <c r="D51" s="10"/>
      <c r="E51" s="10"/>
      <c r="F51" s="10"/>
      <c r="G51" s="10"/>
      <c r="H51" s="10"/>
      <c r="I51" s="10"/>
      <c r="J51" s="10"/>
      <c r="K51" s="25"/>
      <c r="L51" s="26"/>
      <c r="M51" s="25"/>
      <c r="N51" s="10"/>
      <c r="O51" s="10"/>
      <c r="P51" s="10"/>
      <c r="Q51" s="10"/>
      <c r="R51" s="27" t="str">
        <f aca="false">IF(A51="","",ROUND((N51+O51+MIN(K51/40,5)+MIN(M51/5,5))/4,1))</f>
        <v/>
      </c>
      <c r="S51" s="27" t="str">
        <f aca="false">IF(A51="","",ROUND((P51+Q51)/2,1))</f>
        <v/>
      </c>
      <c r="T51" s="10"/>
      <c r="U51" s="10"/>
    </row>
    <row r="52" customFormat="false" ht="15" hidden="false" customHeight="false" outlineLevel="0" collapsed="false">
      <c r="A52" s="18"/>
      <c r="B52" s="10"/>
      <c r="C52" s="10"/>
      <c r="D52" s="10"/>
      <c r="E52" s="10"/>
      <c r="F52" s="10"/>
      <c r="G52" s="10"/>
      <c r="H52" s="10"/>
      <c r="I52" s="10"/>
      <c r="J52" s="10"/>
      <c r="K52" s="25"/>
      <c r="L52" s="26"/>
      <c r="M52" s="25"/>
      <c r="N52" s="10"/>
      <c r="O52" s="10"/>
      <c r="P52" s="10"/>
      <c r="Q52" s="10"/>
      <c r="R52" s="27" t="str">
        <f aca="false">IF(A52="","",ROUND((N52+O52+MIN(K52/40,5)+MIN(M52/5,5))/4,1))</f>
        <v/>
      </c>
      <c r="S52" s="27" t="str">
        <f aca="false">IF(A52="","",ROUND((P52+Q52)/2,1))</f>
        <v/>
      </c>
      <c r="T52" s="10"/>
      <c r="U52" s="10"/>
    </row>
    <row r="53" customFormat="false" ht="15" hidden="false" customHeight="false" outlineLevel="0" collapsed="false">
      <c r="A53" s="18"/>
      <c r="B53" s="10"/>
      <c r="C53" s="10"/>
      <c r="D53" s="10"/>
      <c r="E53" s="10"/>
      <c r="F53" s="10"/>
      <c r="G53" s="10"/>
      <c r="H53" s="10"/>
      <c r="I53" s="10"/>
      <c r="J53" s="10"/>
      <c r="K53" s="25"/>
      <c r="L53" s="26"/>
      <c r="M53" s="25"/>
      <c r="N53" s="10"/>
      <c r="O53" s="10"/>
      <c r="P53" s="10"/>
      <c r="Q53" s="10"/>
      <c r="R53" s="27" t="str">
        <f aca="false">IF(A53="","",ROUND((N53+O53+MIN(K53/40,5)+MIN(M53/5,5))/4,1))</f>
        <v/>
      </c>
      <c r="S53" s="27" t="str">
        <f aca="false">IF(A53="","",ROUND((P53+Q53)/2,1))</f>
        <v/>
      </c>
      <c r="T53" s="10"/>
      <c r="U53" s="10"/>
    </row>
    <row r="54" customFormat="false" ht="15" hidden="false" customHeight="false" outlineLevel="0" collapsed="false">
      <c r="A54" s="18"/>
      <c r="B54" s="10"/>
      <c r="C54" s="10"/>
      <c r="D54" s="10"/>
      <c r="E54" s="10"/>
      <c r="F54" s="10"/>
      <c r="G54" s="10"/>
      <c r="H54" s="10"/>
      <c r="I54" s="10"/>
      <c r="J54" s="10"/>
      <c r="K54" s="25"/>
      <c r="L54" s="26"/>
      <c r="M54" s="25"/>
      <c r="N54" s="10"/>
      <c r="O54" s="10"/>
      <c r="P54" s="10"/>
      <c r="Q54" s="10"/>
      <c r="R54" s="27" t="str">
        <f aca="false">IF(A54="","",ROUND((N54+O54+MIN(K54/40,5)+MIN(M54/5,5))/4,1))</f>
        <v/>
      </c>
      <c r="S54" s="27" t="str">
        <f aca="false">IF(A54="","",ROUND((P54+Q54)/2,1))</f>
        <v/>
      </c>
      <c r="T54" s="10"/>
      <c r="U54" s="10"/>
    </row>
    <row r="55" customFormat="false" ht="15" hidden="false" customHeight="false" outlineLevel="0" collapsed="false">
      <c r="A55" s="18"/>
      <c r="B55" s="10"/>
      <c r="C55" s="10"/>
      <c r="D55" s="10"/>
      <c r="E55" s="10"/>
      <c r="F55" s="10"/>
      <c r="G55" s="10"/>
      <c r="H55" s="10"/>
      <c r="I55" s="10"/>
      <c r="J55" s="10"/>
      <c r="K55" s="25"/>
      <c r="L55" s="26"/>
      <c r="M55" s="25"/>
      <c r="N55" s="10"/>
      <c r="O55" s="10"/>
      <c r="P55" s="10"/>
      <c r="Q55" s="10"/>
      <c r="R55" s="27" t="str">
        <f aca="false">IF(A55="","",ROUND((N55+O55+MIN(K55/40,5)+MIN(M55/5,5))/4,1))</f>
        <v/>
      </c>
      <c r="S55" s="27" t="str">
        <f aca="false">IF(A55="","",ROUND((P55+Q55)/2,1))</f>
        <v/>
      </c>
      <c r="T55" s="10"/>
      <c r="U55" s="10"/>
    </row>
    <row r="56" customFormat="false" ht="15" hidden="false" customHeight="false" outlineLevel="0" collapsed="false">
      <c r="A56" s="18"/>
      <c r="B56" s="10"/>
      <c r="C56" s="10"/>
      <c r="D56" s="10"/>
      <c r="E56" s="10"/>
      <c r="F56" s="10"/>
      <c r="G56" s="10"/>
      <c r="H56" s="10"/>
      <c r="I56" s="10"/>
      <c r="J56" s="10"/>
      <c r="K56" s="25"/>
      <c r="L56" s="26"/>
      <c r="M56" s="25"/>
      <c r="N56" s="10"/>
      <c r="O56" s="10"/>
      <c r="P56" s="10"/>
      <c r="Q56" s="10"/>
      <c r="R56" s="27" t="str">
        <f aca="false">IF(A56="","",ROUND((N56+O56+MIN(K56/40,5)+MIN(M56/5,5))/4,1))</f>
        <v/>
      </c>
      <c r="S56" s="27" t="str">
        <f aca="false">IF(A56="","",ROUND((P56+Q56)/2,1))</f>
        <v/>
      </c>
      <c r="T56" s="10"/>
      <c r="U56" s="10"/>
    </row>
    <row r="57" customFormat="false" ht="15" hidden="false" customHeight="false" outlineLevel="0" collapsed="false">
      <c r="A57" s="18"/>
      <c r="B57" s="10"/>
      <c r="C57" s="10"/>
      <c r="D57" s="10"/>
      <c r="E57" s="10"/>
      <c r="F57" s="10"/>
      <c r="G57" s="10"/>
      <c r="H57" s="10"/>
      <c r="I57" s="10"/>
      <c r="J57" s="10"/>
      <c r="K57" s="25"/>
      <c r="L57" s="26"/>
      <c r="M57" s="25"/>
      <c r="N57" s="10"/>
      <c r="O57" s="10"/>
      <c r="P57" s="10"/>
      <c r="Q57" s="10"/>
      <c r="R57" s="27" t="str">
        <f aca="false">IF(A57="","",ROUND((N57+O57+MIN(K57/40,5)+MIN(M57/5,5))/4,1))</f>
        <v/>
      </c>
      <c r="S57" s="27" t="str">
        <f aca="false">IF(A57="","",ROUND((P57+Q57)/2,1))</f>
        <v/>
      </c>
      <c r="T57" s="10"/>
      <c r="U57" s="10"/>
    </row>
    <row r="58" customFormat="false" ht="15" hidden="false" customHeight="false" outlineLevel="0" collapsed="false">
      <c r="A58" s="18"/>
      <c r="B58" s="10"/>
      <c r="C58" s="10"/>
      <c r="D58" s="10"/>
      <c r="E58" s="10"/>
      <c r="F58" s="10"/>
      <c r="G58" s="10"/>
      <c r="H58" s="10"/>
      <c r="I58" s="10"/>
      <c r="J58" s="10"/>
      <c r="K58" s="25"/>
      <c r="L58" s="26"/>
      <c r="M58" s="25"/>
      <c r="N58" s="10"/>
      <c r="O58" s="10"/>
      <c r="P58" s="10"/>
      <c r="Q58" s="10"/>
      <c r="R58" s="27" t="str">
        <f aca="false">IF(A58="","",ROUND((N58+O58+MIN(K58/40,5)+MIN(M58/5,5))/4,1))</f>
        <v/>
      </c>
      <c r="S58" s="27" t="str">
        <f aca="false">IF(A58="","",ROUND((P58+Q58)/2,1))</f>
        <v/>
      </c>
      <c r="T58" s="10"/>
      <c r="U58" s="10"/>
    </row>
    <row r="59" customFormat="false" ht="15" hidden="false" customHeight="false" outlineLevel="0" collapsed="false">
      <c r="A59" s="18"/>
      <c r="B59" s="10"/>
      <c r="C59" s="10"/>
      <c r="D59" s="10"/>
      <c r="E59" s="10"/>
      <c r="F59" s="10"/>
      <c r="G59" s="10"/>
      <c r="H59" s="10"/>
      <c r="I59" s="10"/>
      <c r="J59" s="10"/>
      <c r="K59" s="25"/>
      <c r="L59" s="26"/>
      <c r="M59" s="25"/>
      <c r="N59" s="10"/>
      <c r="O59" s="10"/>
      <c r="P59" s="10"/>
      <c r="Q59" s="10"/>
      <c r="R59" s="27" t="str">
        <f aca="false">IF(A59="","",ROUND((N59+O59+MIN(K59/40,5)+MIN(M59/5,5))/4,1))</f>
        <v/>
      </c>
      <c r="S59" s="27" t="str">
        <f aca="false">IF(A59="","",ROUND((P59+Q59)/2,1))</f>
        <v/>
      </c>
      <c r="T59" s="10"/>
      <c r="U59" s="10"/>
    </row>
    <row r="60" customFormat="false" ht="15" hidden="false" customHeight="false" outlineLevel="0" collapsed="false">
      <c r="A60" s="18"/>
      <c r="B60" s="10"/>
      <c r="C60" s="10"/>
      <c r="D60" s="10"/>
      <c r="E60" s="10"/>
      <c r="F60" s="10"/>
      <c r="G60" s="10"/>
      <c r="H60" s="10"/>
      <c r="I60" s="10"/>
      <c r="J60" s="10"/>
      <c r="K60" s="25"/>
      <c r="L60" s="26"/>
      <c r="M60" s="25"/>
      <c r="N60" s="10"/>
      <c r="O60" s="10"/>
      <c r="P60" s="10"/>
      <c r="Q60" s="10"/>
      <c r="R60" s="27" t="str">
        <f aca="false">IF(A60="","",ROUND((N60+O60+MIN(K60/40,5)+MIN(M60/5,5))/4,1))</f>
        <v/>
      </c>
      <c r="S60" s="27" t="str">
        <f aca="false">IF(A60="","",ROUND((P60+Q60)/2,1))</f>
        <v/>
      </c>
      <c r="T60" s="10"/>
      <c r="U60" s="10"/>
    </row>
    <row r="61" customFormat="false" ht="15" hidden="false" customHeight="false" outlineLevel="0" collapsed="false">
      <c r="A61" s="18"/>
      <c r="B61" s="10"/>
      <c r="C61" s="10"/>
      <c r="D61" s="10"/>
      <c r="E61" s="10"/>
      <c r="F61" s="10"/>
      <c r="G61" s="10"/>
      <c r="H61" s="10"/>
      <c r="I61" s="10"/>
      <c r="J61" s="10"/>
      <c r="K61" s="25"/>
      <c r="L61" s="26"/>
      <c r="M61" s="25"/>
      <c r="N61" s="10"/>
      <c r="O61" s="10"/>
      <c r="P61" s="10"/>
      <c r="Q61" s="10"/>
      <c r="R61" s="27" t="str">
        <f aca="false">IF(A61="","",ROUND((N61+O61+MIN(K61/40,5)+MIN(M61/5,5))/4,1))</f>
        <v/>
      </c>
      <c r="S61" s="27" t="str">
        <f aca="false">IF(A61="","",ROUND((P61+Q61)/2,1))</f>
        <v/>
      </c>
      <c r="T61" s="10"/>
      <c r="U61" s="10"/>
    </row>
    <row r="62" customFormat="false" ht="15" hidden="false" customHeight="false" outlineLevel="0" collapsed="false">
      <c r="A62" s="18"/>
      <c r="B62" s="10"/>
      <c r="C62" s="10"/>
      <c r="D62" s="10"/>
      <c r="E62" s="10"/>
      <c r="F62" s="10"/>
      <c r="G62" s="10"/>
      <c r="H62" s="10"/>
      <c r="I62" s="10"/>
      <c r="J62" s="10"/>
      <c r="K62" s="25"/>
      <c r="L62" s="26"/>
      <c r="M62" s="25"/>
      <c r="N62" s="10"/>
      <c r="O62" s="10"/>
      <c r="P62" s="10"/>
      <c r="Q62" s="10"/>
      <c r="R62" s="27" t="str">
        <f aca="false">IF(A62="","",ROUND((N62+O62+MIN(K62/40,5)+MIN(M62/5,5))/4,1))</f>
        <v/>
      </c>
      <c r="S62" s="27" t="str">
        <f aca="false">IF(A62="","",ROUND((P62+Q62)/2,1))</f>
        <v/>
      </c>
      <c r="T62" s="10"/>
      <c r="U62" s="10"/>
    </row>
    <row r="63" customFormat="false" ht="15" hidden="false" customHeight="false" outlineLevel="0" collapsed="false">
      <c r="A63" s="18"/>
      <c r="B63" s="10"/>
      <c r="C63" s="10"/>
      <c r="D63" s="10"/>
      <c r="E63" s="10"/>
      <c r="F63" s="10"/>
      <c r="G63" s="10"/>
      <c r="H63" s="10"/>
      <c r="I63" s="10"/>
      <c r="J63" s="10"/>
      <c r="K63" s="25"/>
      <c r="L63" s="26"/>
      <c r="M63" s="25"/>
      <c r="N63" s="10"/>
      <c r="O63" s="10"/>
      <c r="P63" s="10"/>
      <c r="Q63" s="10"/>
      <c r="R63" s="27" t="str">
        <f aca="false">IF(A63="","",ROUND((N63+O63+MIN(K63/40,5)+MIN(M63/5,5))/4,1))</f>
        <v/>
      </c>
      <c r="S63" s="27" t="str">
        <f aca="false">IF(A63="","",ROUND((P63+Q63)/2,1))</f>
        <v/>
      </c>
      <c r="T63" s="10"/>
      <c r="U63" s="10"/>
    </row>
    <row r="64" customFormat="false" ht="15" hidden="false" customHeight="false" outlineLevel="0" collapsed="false">
      <c r="A64" s="18"/>
      <c r="B64" s="10"/>
      <c r="C64" s="10"/>
      <c r="D64" s="10"/>
      <c r="E64" s="10"/>
      <c r="F64" s="10"/>
      <c r="G64" s="10"/>
      <c r="H64" s="10"/>
      <c r="I64" s="10"/>
      <c r="J64" s="10"/>
      <c r="K64" s="25"/>
      <c r="L64" s="26"/>
      <c r="M64" s="25"/>
      <c r="N64" s="10"/>
      <c r="O64" s="10"/>
      <c r="P64" s="10"/>
      <c r="Q64" s="10"/>
      <c r="R64" s="27" t="str">
        <f aca="false">IF(A64="","",ROUND((N64+O64+MIN(K64/40,5)+MIN(M64/5,5))/4,1))</f>
        <v/>
      </c>
      <c r="S64" s="27" t="str">
        <f aca="false">IF(A64="","",ROUND((P64+Q64)/2,1))</f>
        <v/>
      </c>
      <c r="T64" s="10"/>
      <c r="U64" s="10"/>
    </row>
    <row r="65" customFormat="false" ht="15" hidden="false" customHeight="false" outlineLevel="0" collapsed="false">
      <c r="A65" s="18"/>
      <c r="B65" s="10"/>
      <c r="C65" s="10"/>
      <c r="D65" s="10"/>
      <c r="E65" s="10"/>
      <c r="F65" s="10"/>
      <c r="G65" s="10"/>
      <c r="H65" s="10"/>
      <c r="I65" s="10"/>
      <c r="J65" s="10"/>
      <c r="K65" s="25"/>
      <c r="L65" s="26"/>
      <c r="M65" s="25"/>
      <c r="N65" s="10"/>
      <c r="O65" s="10"/>
      <c r="P65" s="10"/>
      <c r="Q65" s="10"/>
      <c r="R65" s="27" t="str">
        <f aca="false">IF(A65="","",ROUND((N65+O65+MIN(K65/40,5)+MIN(M65/5,5))/4,1))</f>
        <v/>
      </c>
      <c r="S65" s="27" t="str">
        <f aca="false">IF(A65="","",ROUND((P65+Q65)/2,1))</f>
        <v/>
      </c>
      <c r="T65" s="10"/>
      <c r="U65" s="10"/>
    </row>
    <row r="66" customFormat="false" ht="15" hidden="false" customHeight="false" outlineLevel="0" collapsed="false">
      <c r="A66" s="18"/>
      <c r="B66" s="10"/>
      <c r="C66" s="10"/>
      <c r="D66" s="10"/>
      <c r="E66" s="10"/>
      <c r="F66" s="10"/>
      <c r="G66" s="10"/>
      <c r="H66" s="10"/>
      <c r="I66" s="10"/>
      <c r="J66" s="10"/>
      <c r="K66" s="25"/>
      <c r="L66" s="26"/>
      <c r="M66" s="25"/>
      <c r="N66" s="10"/>
      <c r="O66" s="10"/>
      <c r="P66" s="10"/>
      <c r="Q66" s="10"/>
      <c r="R66" s="27" t="str">
        <f aca="false">IF(A66="","",ROUND((N66+O66+MIN(K66/40,5)+MIN(M66/5,5))/4,1))</f>
        <v/>
      </c>
      <c r="S66" s="27" t="str">
        <f aca="false">IF(A66="","",ROUND((P66+Q66)/2,1))</f>
        <v/>
      </c>
      <c r="T66" s="10"/>
      <c r="U66" s="10"/>
    </row>
    <row r="67" customFormat="false" ht="15" hidden="false" customHeight="false" outlineLevel="0" collapsed="false">
      <c r="A67" s="18"/>
      <c r="B67" s="10"/>
      <c r="C67" s="10"/>
      <c r="D67" s="10"/>
      <c r="E67" s="10"/>
      <c r="F67" s="10"/>
      <c r="G67" s="10"/>
      <c r="H67" s="10"/>
      <c r="I67" s="10"/>
      <c r="J67" s="10"/>
      <c r="K67" s="25"/>
      <c r="L67" s="26"/>
      <c r="M67" s="25"/>
      <c r="N67" s="10"/>
      <c r="O67" s="10"/>
      <c r="P67" s="10"/>
      <c r="Q67" s="10"/>
      <c r="R67" s="27" t="str">
        <f aca="false">IF(A67="","",ROUND((N67+O67+MIN(K67/40,5)+MIN(M67/5,5))/4,1))</f>
        <v/>
      </c>
      <c r="S67" s="27" t="str">
        <f aca="false">IF(A67="","",ROUND((P67+Q67)/2,1))</f>
        <v/>
      </c>
      <c r="T67" s="10"/>
      <c r="U67" s="10"/>
    </row>
    <row r="68" customFormat="false" ht="15" hidden="false" customHeight="false" outlineLevel="0" collapsed="false">
      <c r="A68" s="18"/>
      <c r="B68" s="10"/>
      <c r="C68" s="10"/>
      <c r="D68" s="10"/>
      <c r="E68" s="10"/>
      <c r="F68" s="10"/>
      <c r="G68" s="10"/>
      <c r="H68" s="10"/>
      <c r="I68" s="10"/>
      <c r="J68" s="10"/>
      <c r="K68" s="25"/>
      <c r="L68" s="26"/>
      <c r="M68" s="25"/>
      <c r="N68" s="10"/>
      <c r="O68" s="10"/>
      <c r="P68" s="10"/>
      <c r="Q68" s="10"/>
      <c r="R68" s="27" t="str">
        <f aca="false">IF(A68="","",ROUND((N68+O68+MIN(K68/40,5)+MIN(M68/5,5))/4,1))</f>
        <v/>
      </c>
      <c r="S68" s="27" t="str">
        <f aca="false">IF(A68="","",ROUND((P68+Q68)/2,1))</f>
        <v/>
      </c>
      <c r="T68" s="10"/>
      <c r="U68" s="10"/>
    </row>
    <row r="69" customFormat="false" ht="15" hidden="false" customHeight="false" outlineLevel="0" collapsed="false">
      <c r="A69" s="18"/>
      <c r="B69" s="10"/>
      <c r="C69" s="10"/>
      <c r="D69" s="10"/>
      <c r="E69" s="10"/>
      <c r="F69" s="10"/>
      <c r="G69" s="10"/>
      <c r="H69" s="10"/>
      <c r="I69" s="10"/>
      <c r="J69" s="10"/>
      <c r="K69" s="25"/>
      <c r="L69" s="26"/>
      <c r="M69" s="25"/>
      <c r="N69" s="10"/>
      <c r="O69" s="10"/>
      <c r="P69" s="10"/>
      <c r="Q69" s="10"/>
      <c r="R69" s="27" t="str">
        <f aca="false">IF(A69="","",ROUND((N69+O69+MIN(K69/40,5)+MIN(M69/5,5))/4,1))</f>
        <v/>
      </c>
      <c r="S69" s="27" t="str">
        <f aca="false">IF(A69="","",ROUND((P69+Q69)/2,1))</f>
        <v/>
      </c>
      <c r="T69" s="10"/>
      <c r="U69" s="10"/>
    </row>
    <row r="70" customFormat="false" ht="15" hidden="false" customHeight="false" outlineLevel="0" collapsed="false">
      <c r="A70" s="18"/>
      <c r="B70" s="10"/>
      <c r="C70" s="10"/>
      <c r="D70" s="10"/>
      <c r="E70" s="10"/>
      <c r="F70" s="10"/>
      <c r="G70" s="10"/>
      <c r="H70" s="10"/>
      <c r="I70" s="10"/>
      <c r="J70" s="10"/>
      <c r="K70" s="25"/>
      <c r="L70" s="26"/>
      <c r="M70" s="25"/>
      <c r="N70" s="10"/>
      <c r="O70" s="10"/>
      <c r="P70" s="10"/>
      <c r="Q70" s="10"/>
      <c r="R70" s="27" t="str">
        <f aca="false">IF(A70="","",ROUND((N70+O70+MIN(K70/40,5)+MIN(M70/5,5))/4,1))</f>
        <v/>
      </c>
      <c r="S70" s="27" t="str">
        <f aca="false">IF(A70="","",ROUND((P70+Q70)/2,1))</f>
        <v/>
      </c>
      <c r="T70" s="10"/>
      <c r="U70" s="10"/>
    </row>
    <row r="71" customFormat="false" ht="15" hidden="false" customHeight="false" outlineLevel="0" collapsed="false">
      <c r="A71" s="18"/>
      <c r="B71" s="10"/>
      <c r="C71" s="10"/>
      <c r="D71" s="10"/>
      <c r="E71" s="10"/>
      <c r="F71" s="10"/>
      <c r="G71" s="10"/>
      <c r="H71" s="10"/>
      <c r="I71" s="10"/>
      <c r="J71" s="10"/>
      <c r="K71" s="25"/>
      <c r="L71" s="26"/>
      <c r="M71" s="25"/>
      <c r="N71" s="10"/>
      <c r="O71" s="10"/>
      <c r="P71" s="10"/>
      <c r="Q71" s="10"/>
      <c r="R71" s="27" t="str">
        <f aca="false">IF(A71="","",ROUND((N71+O71+MIN(K71/40,5)+MIN(M71/5,5))/4,1))</f>
        <v/>
      </c>
      <c r="S71" s="27" t="str">
        <f aca="false">IF(A71="","",ROUND((P71+Q71)/2,1))</f>
        <v/>
      </c>
      <c r="T71" s="10"/>
      <c r="U71" s="10"/>
    </row>
    <row r="72" customFormat="false" ht="15" hidden="false" customHeight="false" outlineLevel="0" collapsed="false">
      <c r="A72" s="18"/>
      <c r="B72" s="10"/>
      <c r="C72" s="10"/>
      <c r="D72" s="10"/>
      <c r="E72" s="10"/>
      <c r="F72" s="10"/>
      <c r="G72" s="10"/>
      <c r="H72" s="10"/>
      <c r="I72" s="10"/>
      <c r="J72" s="10"/>
      <c r="K72" s="25"/>
      <c r="L72" s="26"/>
      <c r="M72" s="25"/>
      <c r="N72" s="10"/>
      <c r="O72" s="10"/>
      <c r="P72" s="10"/>
      <c r="Q72" s="10"/>
      <c r="R72" s="27" t="str">
        <f aca="false">IF(A72="","",ROUND((N72+O72+MIN(K72/40,5)+MIN(M72/5,5))/4,1))</f>
        <v/>
      </c>
      <c r="S72" s="27" t="str">
        <f aca="false">IF(A72="","",ROUND((P72+Q72)/2,1))</f>
        <v/>
      </c>
      <c r="T72" s="10"/>
      <c r="U72" s="10"/>
    </row>
    <row r="73" customFormat="false" ht="15" hidden="false" customHeight="false" outlineLevel="0" collapsed="false">
      <c r="A73" s="18"/>
      <c r="B73" s="10"/>
      <c r="C73" s="10"/>
      <c r="D73" s="10"/>
      <c r="E73" s="10"/>
      <c r="F73" s="10"/>
      <c r="G73" s="10"/>
      <c r="H73" s="10"/>
      <c r="I73" s="10"/>
      <c r="J73" s="10"/>
      <c r="K73" s="25"/>
      <c r="L73" s="26"/>
      <c r="M73" s="25"/>
      <c r="N73" s="10"/>
      <c r="O73" s="10"/>
      <c r="P73" s="10"/>
      <c r="Q73" s="10"/>
      <c r="R73" s="27" t="str">
        <f aca="false">IF(A73="","",ROUND((N73+O73+MIN(K73/40,5)+MIN(M73/5,5))/4,1))</f>
        <v/>
      </c>
      <c r="S73" s="27" t="str">
        <f aca="false">IF(A73="","",ROUND((P73+Q73)/2,1))</f>
        <v/>
      </c>
      <c r="T73" s="10"/>
      <c r="U73" s="10"/>
    </row>
    <row r="74" customFormat="false" ht="15" hidden="false" customHeight="false" outlineLevel="0" collapsed="false">
      <c r="A74" s="18"/>
      <c r="B74" s="10"/>
      <c r="C74" s="10"/>
      <c r="D74" s="10"/>
      <c r="E74" s="10"/>
      <c r="F74" s="10"/>
      <c r="G74" s="10"/>
      <c r="H74" s="10"/>
      <c r="I74" s="10"/>
      <c r="J74" s="10"/>
      <c r="K74" s="25"/>
      <c r="L74" s="26"/>
      <c r="M74" s="25"/>
      <c r="N74" s="10"/>
      <c r="O74" s="10"/>
      <c r="P74" s="10"/>
      <c r="Q74" s="10"/>
      <c r="R74" s="27" t="str">
        <f aca="false">IF(A74="","",ROUND((N74+O74+MIN(K74/40,5)+MIN(M74/5,5))/4,1))</f>
        <v/>
      </c>
      <c r="S74" s="27" t="str">
        <f aca="false">IF(A74="","",ROUND((P74+Q74)/2,1))</f>
        <v/>
      </c>
      <c r="T74" s="10"/>
      <c r="U74" s="10"/>
    </row>
    <row r="75" customFormat="false" ht="15" hidden="false" customHeight="false" outlineLevel="0" collapsed="false">
      <c r="A75" s="18"/>
      <c r="B75" s="10"/>
      <c r="C75" s="10"/>
      <c r="D75" s="10"/>
      <c r="E75" s="10"/>
      <c r="F75" s="10"/>
      <c r="G75" s="10"/>
      <c r="H75" s="10"/>
      <c r="I75" s="10"/>
      <c r="J75" s="10"/>
      <c r="K75" s="25"/>
      <c r="L75" s="26"/>
      <c r="M75" s="25"/>
      <c r="N75" s="10"/>
      <c r="O75" s="10"/>
      <c r="P75" s="10"/>
      <c r="Q75" s="10"/>
      <c r="R75" s="27" t="str">
        <f aca="false">IF(A75="","",ROUND((N75+O75+MIN(K75/40,5)+MIN(M75/5,5))/4,1))</f>
        <v/>
      </c>
      <c r="S75" s="27" t="str">
        <f aca="false">IF(A75="","",ROUND((P75+Q75)/2,1))</f>
        <v/>
      </c>
      <c r="T75" s="10"/>
      <c r="U75" s="10"/>
    </row>
    <row r="76" customFormat="false" ht="15" hidden="false" customHeight="false" outlineLevel="0" collapsed="false">
      <c r="A76" s="18"/>
      <c r="B76" s="10"/>
      <c r="C76" s="10"/>
      <c r="D76" s="10"/>
      <c r="E76" s="10"/>
      <c r="F76" s="10"/>
      <c r="G76" s="10"/>
      <c r="H76" s="10"/>
      <c r="I76" s="10"/>
      <c r="J76" s="10"/>
      <c r="K76" s="25"/>
      <c r="L76" s="26"/>
      <c r="M76" s="25"/>
      <c r="N76" s="10"/>
      <c r="O76" s="10"/>
      <c r="P76" s="10"/>
      <c r="Q76" s="10"/>
      <c r="R76" s="27" t="str">
        <f aca="false">IF(A76="","",ROUND((N76+O76+MIN(K76/40,5)+MIN(M76/5,5))/4,1))</f>
        <v/>
      </c>
      <c r="S76" s="27" t="str">
        <f aca="false">IF(A76="","",ROUND((P76+Q76)/2,1))</f>
        <v/>
      </c>
      <c r="T76" s="10"/>
      <c r="U76" s="10"/>
    </row>
    <row r="77" customFormat="false" ht="15" hidden="false" customHeight="false" outlineLevel="0" collapsed="false">
      <c r="A77" s="18"/>
      <c r="B77" s="10"/>
      <c r="C77" s="10"/>
      <c r="D77" s="10"/>
      <c r="E77" s="10"/>
      <c r="F77" s="10"/>
      <c r="G77" s="10"/>
      <c r="H77" s="10"/>
      <c r="I77" s="10"/>
      <c r="J77" s="10"/>
      <c r="K77" s="25"/>
      <c r="L77" s="26"/>
      <c r="M77" s="25"/>
      <c r="N77" s="10"/>
      <c r="O77" s="10"/>
      <c r="P77" s="10"/>
      <c r="Q77" s="10"/>
      <c r="R77" s="27" t="str">
        <f aca="false">IF(A77="","",ROUND((N77+O77+MIN(K77/40,5)+MIN(M77/5,5))/4,1))</f>
        <v/>
      </c>
      <c r="S77" s="27" t="str">
        <f aca="false">IF(A77="","",ROUND((P77+Q77)/2,1))</f>
        <v/>
      </c>
      <c r="T77" s="10"/>
      <c r="U77" s="10"/>
    </row>
    <row r="78" customFormat="false" ht="15" hidden="false" customHeight="false" outlineLevel="0" collapsed="false">
      <c r="A78" s="18"/>
      <c r="B78" s="10"/>
      <c r="C78" s="10"/>
      <c r="D78" s="10"/>
      <c r="E78" s="10"/>
      <c r="F78" s="10"/>
      <c r="G78" s="10"/>
      <c r="H78" s="10"/>
      <c r="I78" s="10"/>
      <c r="J78" s="10"/>
      <c r="K78" s="25"/>
      <c r="L78" s="26"/>
      <c r="M78" s="25"/>
      <c r="N78" s="10"/>
      <c r="O78" s="10"/>
      <c r="P78" s="10"/>
      <c r="Q78" s="10"/>
      <c r="R78" s="27" t="str">
        <f aca="false">IF(A78="","",ROUND((N78+O78+MIN(K78/40,5)+MIN(M78/5,5))/4,1))</f>
        <v/>
      </c>
      <c r="S78" s="27" t="str">
        <f aca="false">IF(A78="","",ROUND((P78+Q78)/2,1))</f>
        <v/>
      </c>
      <c r="T78" s="10"/>
      <c r="U78" s="10"/>
    </row>
    <row r="79" customFormat="false" ht="15" hidden="false" customHeight="false" outlineLevel="0" collapsed="false">
      <c r="A79" s="18"/>
      <c r="B79" s="10"/>
      <c r="C79" s="10"/>
      <c r="D79" s="10"/>
      <c r="E79" s="10"/>
      <c r="F79" s="10"/>
      <c r="G79" s="10"/>
      <c r="H79" s="10"/>
      <c r="I79" s="10"/>
      <c r="J79" s="10"/>
      <c r="K79" s="25"/>
      <c r="L79" s="26"/>
      <c r="M79" s="25"/>
      <c r="N79" s="10"/>
      <c r="O79" s="10"/>
      <c r="P79" s="10"/>
      <c r="Q79" s="10"/>
      <c r="R79" s="27" t="str">
        <f aca="false">IF(A79="","",ROUND((N79+O79+MIN(K79/40,5)+MIN(M79/5,5))/4,1))</f>
        <v/>
      </c>
      <c r="S79" s="27" t="str">
        <f aca="false">IF(A79="","",ROUND((P79+Q79)/2,1))</f>
        <v/>
      </c>
      <c r="T79" s="10"/>
      <c r="U79" s="10"/>
    </row>
    <row r="80" customFormat="false" ht="15" hidden="false" customHeight="false" outlineLevel="0" collapsed="false">
      <c r="A80" s="18"/>
      <c r="B80" s="10"/>
      <c r="C80" s="10"/>
      <c r="D80" s="10"/>
      <c r="E80" s="10"/>
      <c r="F80" s="10"/>
      <c r="G80" s="10"/>
      <c r="H80" s="10"/>
      <c r="I80" s="10"/>
      <c r="J80" s="10"/>
      <c r="K80" s="25"/>
      <c r="L80" s="26"/>
      <c r="M80" s="25"/>
      <c r="N80" s="10"/>
      <c r="O80" s="10"/>
      <c r="P80" s="10"/>
      <c r="Q80" s="10"/>
      <c r="R80" s="27" t="str">
        <f aca="false">IF(A80="","",ROUND((N80+O80+MIN(K80/40,5)+MIN(M80/5,5))/4,1))</f>
        <v/>
      </c>
      <c r="S80" s="27" t="str">
        <f aca="false">IF(A80="","",ROUND((P80+Q80)/2,1))</f>
        <v/>
      </c>
      <c r="T80" s="10"/>
      <c r="U80" s="10"/>
    </row>
    <row r="81" customFormat="false" ht="15" hidden="false" customHeight="false" outlineLevel="0" collapsed="false">
      <c r="A81" s="18"/>
      <c r="B81" s="10"/>
      <c r="C81" s="10"/>
      <c r="D81" s="10"/>
      <c r="E81" s="10"/>
      <c r="F81" s="10"/>
      <c r="G81" s="10"/>
      <c r="H81" s="10"/>
      <c r="I81" s="10"/>
      <c r="J81" s="10"/>
      <c r="K81" s="25"/>
      <c r="L81" s="26"/>
      <c r="M81" s="25"/>
      <c r="N81" s="10"/>
      <c r="O81" s="10"/>
      <c r="P81" s="10"/>
      <c r="Q81" s="10"/>
      <c r="R81" s="27" t="str">
        <f aca="false">IF(A81="","",ROUND((N81+O81+MIN(K81/40,5)+MIN(M81/5,5))/4,1))</f>
        <v/>
      </c>
      <c r="S81" s="27" t="str">
        <f aca="false">IF(A81="","",ROUND((P81+Q81)/2,1))</f>
        <v/>
      </c>
      <c r="T81" s="10"/>
      <c r="U81" s="10"/>
    </row>
    <row r="82" customFormat="false" ht="15" hidden="false" customHeight="false" outlineLevel="0" collapsed="false">
      <c r="A82" s="18"/>
      <c r="B82" s="10"/>
      <c r="C82" s="10"/>
      <c r="D82" s="10"/>
      <c r="E82" s="10"/>
      <c r="F82" s="10"/>
      <c r="G82" s="10"/>
      <c r="H82" s="10"/>
      <c r="I82" s="10"/>
      <c r="J82" s="10"/>
      <c r="K82" s="25"/>
      <c r="L82" s="26"/>
      <c r="M82" s="25"/>
      <c r="N82" s="10"/>
      <c r="O82" s="10"/>
      <c r="P82" s="10"/>
      <c r="Q82" s="10"/>
      <c r="R82" s="27" t="str">
        <f aca="false">IF(A82="","",ROUND((N82+O82+MIN(K82/40,5)+MIN(M82/5,5))/4,1))</f>
        <v/>
      </c>
      <c r="S82" s="27" t="str">
        <f aca="false">IF(A82="","",ROUND((P82+Q82)/2,1))</f>
        <v/>
      </c>
      <c r="T82" s="10"/>
      <c r="U82" s="10"/>
    </row>
    <row r="83" customFormat="false" ht="15" hidden="false" customHeight="false" outlineLevel="0" collapsed="false">
      <c r="A83" s="18"/>
      <c r="B83" s="10"/>
      <c r="C83" s="10"/>
      <c r="D83" s="10"/>
      <c r="E83" s="10"/>
      <c r="F83" s="10"/>
      <c r="G83" s="10"/>
      <c r="H83" s="10"/>
      <c r="I83" s="10"/>
      <c r="J83" s="10"/>
      <c r="K83" s="25"/>
      <c r="L83" s="26"/>
      <c r="M83" s="25"/>
      <c r="N83" s="10"/>
      <c r="O83" s="10"/>
      <c r="P83" s="10"/>
      <c r="Q83" s="10"/>
      <c r="R83" s="27" t="str">
        <f aca="false">IF(A83="","",ROUND((N83+O83+MIN(K83/40,5)+MIN(M83/5,5))/4,1))</f>
        <v/>
      </c>
      <c r="S83" s="27" t="str">
        <f aca="false">IF(A83="","",ROUND((P83+Q83)/2,1))</f>
        <v/>
      </c>
      <c r="T83" s="10"/>
      <c r="U83" s="10"/>
    </row>
    <row r="84" customFormat="false" ht="15" hidden="false" customHeight="false" outlineLevel="0" collapsed="false">
      <c r="A84" s="18"/>
      <c r="B84" s="10"/>
      <c r="C84" s="10"/>
      <c r="D84" s="10"/>
      <c r="E84" s="10"/>
      <c r="F84" s="10"/>
      <c r="G84" s="10"/>
      <c r="H84" s="10"/>
      <c r="I84" s="10"/>
      <c r="J84" s="10"/>
      <c r="K84" s="25"/>
      <c r="L84" s="26"/>
      <c r="M84" s="25"/>
      <c r="N84" s="10"/>
      <c r="O84" s="10"/>
      <c r="P84" s="10"/>
      <c r="Q84" s="10"/>
      <c r="R84" s="27" t="str">
        <f aca="false">IF(A84="","",ROUND((N84+O84+MIN(K84/40,5)+MIN(M84/5,5))/4,1))</f>
        <v/>
      </c>
      <c r="S84" s="27" t="str">
        <f aca="false">IF(A84="","",ROUND((P84+Q84)/2,1))</f>
        <v/>
      </c>
      <c r="T84" s="10"/>
      <c r="U84" s="10"/>
    </row>
    <row r="85" customFormat="false" ht="15" hidden="false" customHeight="false" outlineLevel="0" collapsed="false">
      <c r="A85" s="18"/>
      <c r="B85" s="10"/>
      <c r="C85" s="10"/>
      <c r="D85" s="10"/>
      <c r="E85" s="10"/>
      <c r="F85" s="10"/>
      <c r="G85" s="10"/>
      <c r="H85" s="10"/>
      <c r="I85" s="10"/>
      <c r="J85" s="10"/>
      <c r="K85" s="25"/>
      <c r="L85" s="26"/>
      <c r="M85" s="25"/>
      <c r="N85" s="10"/>
      <c r="O85" s="10"/>
      <c r="P85" s="10"/>
      <c r="Q85" s="10"/>
      <c r="R85" s="27" t="str">
        <f aca="false">IF(A85="","",ROUND((N85+O85+MIN(K85/40,5)+MIN(M85/5,5))/4,1))</f>
        <v/>
      </c>
      <c r="S85" s="27" t="str">
        <f aca="false">IF(A85="","",ROUND((P85+Q85)/2,1))</f>
        <v/>
      </c>
      <c r="T85" s="10"/>
      <c r="U85" s="10"/>
    </row>
    <row r="86" customFormat="false" ht="15" hidden="false" customHeight="false" outlineLevel="0" collapsed="false">
      <c r="A86" s="18"/>
      <c r="B86" s="10"/>
      <c r="C86" s="10"/>
      <c r="D86" s="10"/>
      <c r="E86" s="10"/>
      <c r="F86" s="10"/>
      <c r="G86" s="10"/>
      <c r="H86" s="10"/>
      <c r="I86" s="10"/>
      <c r="J86" s="10"/>
      <c r="K86" s="25"/>
      <c r="L86" s="26"/>
      <c r="M86" s="25"/>
      <c r="N86" s="10"/>
      <c r="O86" s="10"/>
      <c r="P86" s="10"/>
      <c r="Q86" s="10"/>
      <c r="R86" s="27" t="str">
        <f aca="false">IF(A86="","",ROUND((N86+O86+MIN(K86/40,5)+MIN(M86/5,5))/4,1))</f>
        <v/>
      </c>
      <c r="S86" s="27" t="str">
        <f aca="false">IF(A86="","",ROUND((P86+Q86)/2,1))</f>
        <v/>
      </c>
      <c r="T86" s="10"/>
      <c r="U86" s="10"/>
    </row>
    <row r="87" customFormat="false" ht="15" hidden="false" customHeight="false" outlineLevel="0" collapsed="false">
      <c r="A87" s="18"/>
      <c r="B87" s="10"/>
      <c r="C87" s="10"/>
      <c r="D87" s="10"/>
      <c r="E87" s="10"/>
      <c r="F87" s="10"/>
      <c r="G87" s="10"/>
      <c r="H87" s="10"/>
      <c r="I87" s="10"/>
      <c r="J87" s="10"/>
      <c r="K87" s="25"/>
      <c r="L87" s="26"/>
      <c r="M87" s="25"/>
      <c r="N87" s="10"/>
      <c r="O87" s="10"/>
      <c r="P87" s="10"/>
      <c r="Q87" s="10"/>
      <c r="R87" s="27" t="str">
        <f aca="false">IF(A87="","",ROUND((N87+O87+MIN(K87/40,5)+MIN(M87/5,5))/4,1))</f>
        <v/>
      </c>
      <c r="S87" s="27" t="str">
        <f aca="false">IF(A87="","",ROUND((P87+Q87)/2,1))</f>
        <v/>
      </c>
      <c r="T87" s="10"/>
      <c r="U87" s="10"/>
    </row>
    <row r="88" customFormat="false" ht="15" hidden="false" customHeight="false" outlineLevel="0" collapsed="false">
      <c r="A88" s="18"/>
      <c r="B88" s="10"/>
      <c r="C88" s="10"/>
      <c r="D88" s="10"/>
      <c r="E88" s="10"/>
      <c r="F88" s="10"/>
      <c r="G88" s="10"/>
      <c r="H88" s="10"/>
      <c r="I88" s="10"/>
      <c r="J88" s="10"/>
      <c r="K88" s="25"/>
      <c r="L88" s="26"/>
      <c r="M88" s="25"/>
      <c r="N88" s="10"/>
      <c r="O88" s="10"/>
      <c r="P88" s="10"/>
      <c r="Q88" s="10"/>
      <c r="R88" s="27" t="str">
        <f aca="false">IF(A88="","",ROUND((N88+O88+MIN(K88/40,5)+MIN(M88/5,5))/4,1))</f>
        <v/>
      </c>
      <c r="S88" s="27" t="str">
        <f aca="false">IF(A88="","",ROUND((P88+Q88)/2,1))</f>
        <v/>
      </c>
      <c r="T88" s="10"/>
      <c r="U88" s="10"/>
    </row>
    <row r="89" customFormat="false" ht="15" hidden="false" customHeight="false" outlineLevel="0" collapsed="false">
      <c r="A89" s="18"/>
      <c r="B89" s="10"/>
      <c r="C89" s="10"/>
      <c r="D89" s="10"/>
      <c r="E89" s="10"/>
      <c r="F89" s="10"/>
      <c r="G89" s="10"/>
      <c r="H89" s="10"/>
      <c r="I89" s="10"/>
      <c r="J89" s="10"/>
      <c r="K89" s="25"/>
      <c r="L89" s="26"/>
      <c r="M89" s="25"/>
      <c r="N89" s="10"/>
      <c r="O89" s="10"/>
      <c r="P89" s="10"/>
      <c r="Q89" s="10"/>
      <c r="R89" s="27" t="str">
        <f aca="false">IF(A89="","",ROUND((N89+O89+MIN(K89/40,5)+MIN(M89/5,5))/4,1))</f>
        <v/>
      </c>
      <c r="S89" s="27" t="str">
        <f aca="false">IF(A89="","",ROUND((P89+Q89)/2,1))</f>
        <v/>
      </c>
      <c r="T89" s="10"/>
      <c r="U89" s="10"/>
    </row>
    <row r="90" customFormat="false" ht="15" hidden="false" customHeight="false" outlineLevel="0" collapsed="false">
      <c r="A90" s="18"/>
      <c r="B90" s="10"/>
      <c r="C90" s="10"/>
      <c r="D90" s="10"/>
      <c r="E90" s="10"/>
      <c r="F90" s="10"/>
      <c r="G90" s="10"/>
      <c r="H90" s="10"/>
      <c r="I90" s="10"/>
      <c r="J90" s="10"/>
      <c r="K90" s="25"/>
      <c r="L90" s="26"/>
      <c r="M90" s="25"/>
      <c r="N90" s="10"/>
      <c r="O90" s="10"/>
      <c r="P90" s="10"/>
      <c r="Q90" s="10"/>
      <c r="R90" s="27" t="str">
        <f aca="false">IF(A90="","",ROUND((N90+O90+MIN(K90/40,5)+MIN(M90/5,5))/4,1))</f>
        <v/>
      </c>
      <c r="S90" s="27" t="str">
        <f aca="false">IF(A90="","",ROUND((P90+Q90)/2,1))</f>
        <v/>
      </c>
      <c r="T90" s="10"/>
      <c r="U90" s="10"/>
    </row>
    <row r="91" customFormat="false" ht="15" hidden="false" customHeight="false" outlineLevel="0" collapsed="false">
      <c r="A91" s="18"/>
      <c r="B91" s="10"/>
      <c r="C91" s="10"/>
      <c r="D91" s="10"/>
      <c r="E91" s="10"/>
      <c r="F91" s="10"/>
      <c r="G91" s="10"/>
      <c r="H91" s="10"/>
      <c r="I91" s="10"/>
      <c r="J91" s="10"/>
      <c r="K91" s="25"/>
      <c r="L91" s="26"/>
      <c r="M91" s="25"/>
      <c r="N91" s="10"/>
      <c r="O91" s="10"/>
      <c r="P91" s="10"/>
      <c r="Q91" s="10"/>
      <c r="R91" s="27" t="str">
        <f aca="false">IF(A91="","",ROUND((N91+O91+MIN(K91/40,5)+MIN(M91/5,5))/4,1))</f>
        <v/>
      </c>
      <c r="S91" s="27" t="str">
        <f aca="false">IF(A91="","",ROUND((P91+Q91)/2,1))</f>
        <v/>
      </c>
      <c r="T91" s="10"/>
      <c r="U91" s="10"/>
    </row>
    <row r="92" customFormat="false" ht="15" hidden="false" customHeight="false" outlineLevel="0" collapsed="false">
      <c r="A92" s="18"/>
      <c r="B92" s="10"/>
      <c r="C92" s="10"/>
      <c r="D92" s="10"/>
      <c r="E92" s="10"/>
      <c r="F92" s="10"/>
      <c r="G92" s="10"/>
      <c r="H92" s="10"/>
      <c r="I92" s="10"/>
      <c r="J92" s="10"/>
      <c r="K92" s="25"/>
      <c r="L92" s="26"/>
      <c r="M92" s="25"/>
      <c r="N92" s="10"/>
      <c r="O92" s="10"/>
      <c r="P92" s="10"/>
      <c r="Q92" s="10"/>
      <c r="R92" s="27" t="str">
        <f aca="false">IF(A92="","",ROUND((N92+O92+MIN(K92/40,5)+MIN(M92/5,5))/4,1))</f>
        <v/>
      </c>
      <c r="S92" s="27" t="str">
        <f aca="false">IF(A92="","",ROUND((P92+Q92)/2,1))</f>
        <v/>
      </c>
      <c r="T92" s="10"/>
      <c r="U92" s="10"/>
    </row>
    <row r="93" customFormat="false" ht="15" hidden="false" customHeight="false" outlineLevel="0" collapsed="false">
      <c r="A93" s="18"/>
      <c r="B93" s="10"/>
      <c r="C93" s="10"/>
      <c r="D93" s="10"/>
      <c r="E93" s="10"/>
      <c r="F93" s="10"/>
      <c r="G93" s="10"/>
      <c r="H93" s="10"/>
      <c r="I93" s="10"/>
      <c r="J93" s="10"/>
      <c r="K93" s="25"/>
      <c r="L93" s="26"/>
      <c r="M93" s="25"/>
      <c r="N93" s="10"/>
      <c r="O93" s="10"/>
      <c r="P93" s="10"/>
      <c r="Q93" s="10"/>
      <c r="R93" s="27" t="str">
        <f aca="false">IF(A93="","",ROUND((N93+O93+MIN(K93/40,5)+MIN(M93/5,5))/4,1))</f>
        <v/>
      </c>
      <c r="S93" s="27" t="str">
        <f aca="false">IF(A93="","",ROUND((P93+Q93)/2,1))</f>
        <v/>
      </c>
      <c r="T93" s="10"/>
      <c r="U93" s="10"/>
    </row>
    <row r="94" customFormat="false" ht="15" hidden="false" customHeight="false" outlineLevel="0" collapsed="false">
      <c r="A94" s="18"/>
      <c r="B94" s="10"/>
      <c r="C94" s="10"/>
      <c r="D94" s="10"/>
      <c r="E94" s="10"/>
      <c r="F94" s="10"/>
      <c r="G94" s="10"/>
      <c r="H94" s="10"/>
      <c r="I94" s="10"/>
      <c r="J94" s="10"/>
      <c r="K94" s="25"/>
      <c r="L94" s="26"/>
      <c r="M94" s="25"/>
      <c r="N94" s="10"/>
      <c r="O94" s="10"/>
      <c r="P94" s="10"/>
      <c r="Q94" s="10"/>
      <c r="R94" s="27" t="str">
        <f aca="false">IF(A94="","",ROUND((N94+O94+MIN(K94/40,5)+MIN(M94/5,5))/4,1))</f>
        <v/>
      </c>
      <c r="S94" s="27" t="str">
        <f aca="false">IF(A94="","",ROUND((P94+Q94)/2,1))</f>
        <v/>
      </c>
      <c r="T94" s="10"/>
      <c r="U94" s="10"/>
    </row>
    <row r="95" customFormat="false" ht="15" hidden="false" customHeight="false" outlineLevel="0" collapsed="false">
      <c r="A95" s="18"/>
      <c r="B95" s="10"/>
      <c r="C95" s="10"/>
      <c r="D95" s="10"/>
      <c r="E95" s="10"/>
      <c r="F95" s="10"/>
      <c r="G95" s="10"/>
      <c r="H95" s="10"/>
      <c r="I95" s="10"/>
      <c r="J95" s="10"/>
      <c r="K95" s="25"/>
      <c r="L95" s="26"/>
      <c r="M95" s="25"/>
      <c r="N95" s="10"/>
      <c r="O95" s="10"/>
      <c r="P95" s="10"/>
      <c r="Q95" s="10"/>
      <c r="R95" s="27" t="str">
        <f aca="false">IF(A95="","",ROUND((N95+O95+MIN(K95/40,5)+MIN(M95/5,5))/4,1))</f>
        <v/>
      </c>
      <c r="S95" s="27" t="str">
        <f aca="false">IF(A95="","",ROUND((P95+Q95)/2,1))</f>
        <v/>
      </c>
      <c r="T95" s="10"/>
      <c r="U95" s="10"/>
    </row>
    <row r="96" customFormat="false" ht="15" hidden="false" customHeight="false" outlineLevel="0" collapsed="false">
      <c r="A96" s="18"/>
      <c r="B96" s="10"/>
      <c r="C96" s="10"/>
      <c r="D96" s="10"/>
      <c r="E96" s="10"/>
      <c r="F96" s="10"/>
      <c r="G96" s="10"/>
      <c r="H96" s="10"/>
      <c r="I96" s="10"/>
      <c r="J96" s="10"/>
      <c r="K96" s="25"/>
      <c r="L96" s="26"/>
      <c r="M96" s="25"/>
      <c r="N96" s="10"/>
      <c r="O96" s="10"/>
      <c r="P96" s="10"/>
      <c r="Q96" s="10"/>
      <c r="R96" s="27" t="str">
        <f aca="false">IF(A96="","",ROUND((N96+O96+MIN(K96/40,5)+MIN(M96/5,5))/4,1))</f>
        <v/>
      </c>
      <c r="S96" s="27" t="str">
        <f aca="false">IF(A96="","",ROUND((P96+Q96)/2,1))</f>
        <v/>
      </c>
      <c r="T96" s="10"/>
      <c r="U96" s="10"/>
    </row>
    <row r="97" customFormat="false" ht="15" hidden="false" customHeight="false" outlineLevel="0" collapsed="false">
      <c r="A97" s="18"/>
      <c r="B97" s="10"/>
      <c r="C97" s="10"/>
      <c r="D97" s="10"/>
      <c r="E97" s="10"/>
      <c r="F97" s="10"/>
      <c r="G97" s="10"/>
      <c r="H97" s="10"/>
      <c r="I97" s="10"/>
      <c r="J97" s="10"/>
      <c r="K97" s="25"/>
      <c r="L97" s="26"/>
      <c r="M97" s="25"/>
      <c r="N97" s="10"/>
      <c r="O97" s="10"/>
      <c r="P97" s="10"/>
      <c r="Q97" s="10"/>
      <c r="R97" s="27" t="str">
        <f aca="false">IF(A97="","",ROUND((N97+O97+MIN(K97/40,5)+MIN(M97/5,5))/4,1))</f>
        <v/>
      </c>
      <c r="S97" s="27" t="str">
        <f aca="false">IF(A97="","",ROUND((P97+Q97)/2,1))</f>
        <v/>
      </c>
      <c r="T97" s="10"/>
      <c r="U97" s="10"/>
    </row>
    <row r="98" customFormat="false" ht="15" hidden="false" customHeight="false" outlineLevel="0" collapsed="false">
      <c r="A98" s="18"/>
      <c r="B98" s="10"/>
      <c r="C98" s="10"/>
      <c r="D98" s="10"/>
      <c r="E98" s="10"/>
      <c r="F98" s="10"/>
      <c r="G98" s="10"/>
      <c r="H98" s="10"/>
      <c r="I98" s="10"/>
      <c r="J98" s="10"/>
      <c r="K98" s="25"/>
      <c r="L98" s="26"/>
      <c r="M98" s="25"/>
      <c r="N98" s="10"/>
      <c r="O98" s="10"/>
      <c r="P98" s="10"/>
      <c r="Q98" s="10"/>
      <c r="R98" s="27" t="str">
        <f aca="false">IF(A98="","",ROUND((N98+O98+MIN(K98/40,5)+MIN(M98/5,5))/4,1))</f>
        <v/>
      </c>
      <c r="S98" s="27" t="str">
        <f aca="false">IF(A98="","",ROUND((P98+Q98)/2,1))</f>
        <v/>
      </c>
      <c r="T98" s="10"/>
      <c r="U98" s="10"/>
    </row>
    <row r="99" customFormat="false" ht="15" hidden="false" customHeight="false" outlineLevel="0" collapsed="false">
      <c r="A99" s="18"/>
      <c r="B99" s="10"/>
      <c r="C99" s="10"/>
      <c r="D99" s="10"/>
      <c r="E99" s="10"/>
      <c r="F99" s="10"/>
      <c r="G99" s="10"/>
      <c r="H99" s="10"/>
      <c r="I99" s="10"/>
      <c r="J99" s="10"/>
      <c r="K99" s="25"/>
      <c r="L99" s="26"/>
      <c r="M99" s="25"/>
      <c r="N99" s="10"/>
      <c r="O99" s="10"/>
      <c r="P99" s="10"/>
      <c r="Q99" s="10"/>
      <c r="R99" s="27" t="str">
        <f aca="false">IF(A99="","",ROUND((N99+O99+MIN(K99/40,5)+MIN(M99/5,5))/4,1))</f>
        <v/>
      </c>
      <c r="S99" s="27" t="str">
        <f aca="false">IF(A99="","",ROUND((P99+Q99)/2,1))</f>
        <v/>
      </c>
      <c r="T99" s="10"/>
      <c r="U99" s="10"/>
    </row>
    <row r="100" customFormat="false" ht="15" hidden="false" customHeight="false" outlineLevel="0" collapsed="false">
      <c r="A100" s="18"/>
      <c r="B100" s="10"/>
      <c r="C100" s="10"/>
      <c r="D100" s="10"/>
      <c r="E100" s="10"/>
      <c r="F100" s="10"/>
      <c r="G100" s="10"/>
      <c r="H100" s="10"/>
      <c r="I100" s="10"/>
      <c r="J100" s="10"/>
      <c r="K100" s="25"/>
      <c r="L100" s="26"/>
      <c r="M100" s="25"/>
      <c r="N100" s="10"/>
      <c r="O100" s="10"/>
      <c r="P100" s="10"/>
      <c r="Q100" s="10"/>
      <c r="R100" s="27" t="str">
        <f aca="false">IF(A100="","",ROUND((N100+O100+MIN(K100/40,5)+MIN(M100/5,5))/4,1))</f>
        <v/>
      </c>
      <c r="S100" s="27" t="str">
        <f aca="false">IF(A100="","",ROUND((P100+Q100)/2,1))</f>
        <v/>
      </c>
      <c r="T100" s="10"/>
      <c r="U100" s="10"/>
    </row>
    <row r="101" customFormat="false" ht="15" hidden="false" customHeight="false" outlineLevel="0" collapsed="false">
      <c r="A101" s="18"/>
      <c r="B101" s="10"/>
      <c r="C101" s="10"/>
      <c r="D101" s="10"/>
      <c r="E101" s="10"/>
      <c r="F101" s="10"/>
      <c r="G101" s="10"/>
      <c r="H101" s="10"/>
      <c r="I101" s="10"/>
      <c r="J101" s="10"/>
      <c r="K101" s="25"/>
      <c r="L101" s="26"/>
      <c r="M101" s="25"/>
      <c r="N101" s="10"/>
      <c r="O101" s="10"/>
      <c r="P101" s="10"/>
      <c r="Q101" s="10"/>
      <c r="R101" s="27" t="str">
        <f aca="false">IF(A101="","",ROUND((N101+O101+MIN(K101/40,5)+MIN(M101/5,5))/4,1))</f>
        <v/>
      </c>
      <c r="S101" s="27" t="str">
        <f aca="false">IF(A101="","",ROUND((P101+Q101)/2,1))</f>
        <v/>
      </c>
      <c r="T101" s="10"/>
      <c r="U101" s="10"/>
    </row>
    <row r="102" customFormat="false" ht="15" hidden="false" customHeight="false" outlineLevel="0" collapsed="false">
      <c r="A102" s="18"/>
      <c r="B102" s="10"/>
      <c r="C102" s="10"/>
      <c r="D102" s="10"/>
      <c r="E102" s="10"/>
      <c r="F102" s="10"/>
      <c r="G102" s="10"/>
      <c r="H102" s="10"/>
      <c r="I102" s="10"/>
      <c r="J102" s="10"/>
      <c r="K102" s="25"/>
      <c r="L102" s="26"/>
      <c r="M102" s="25"/>
      <c r="N102" s="10"/>
      <c r="O102" s="10"/>
      <c r="P102" s="10"/>
      <c r="Q102" s="10"/>
      <c r="R102" s="27" t="str">
        <f aca="false">IF(A102="","",ROUND((N102+O102+MIN(K102/40,5)+MIN(M102/5,5))/4,1))</f>
        <v/>
      </c>
      <c r="S102" s="27" t="str">
        <f aca="false">IF(A102="","",ROUND((P102+Q102)/2,1))</f>
        <v/>
      </c>
      <c r="T102" s="10"/>
      <c r="U102" s="10"/>
    </row>
    <row r="103" customFormat="false" ht="15" hidden="false" customHeight="false" outlineLevel="0" collapsed="false">
      <c r="A103" s="18"/>
      <c r="B103" s="10"/>
      <c r="C103" s="10"/>
      <c r="D103" s="10"/>
      <c r="E103" s="10"/>
      <c r="F103" s="10"/>
      <c r="G103" s="10"/>
      <c r="H103" s="10"/>
      <c r="I103" s="10"/>
      <c r="J103" s="10"/>
      <c r="K103" s="25"/>
      <c r="L103" s="26"/>
      <c r="M103" s="25"/>
      <c r="N103" s="10"/>
      <c r="O103" s="10"/>
      <c r="P103" s="10"/>
      <c r="Q103" s="10"/>
      <c r="R103" s="27" t="str">
        <f aca="false">IF(A103="","",ROUND((N103+O103+MIN(K103/40,5)+MIN(M103/5,5))/4,1))</f>
        <v/>
      </c>
      <c r="S103" s="27" t="str">
        <f aca="false">IF(A103="","",ROUND((P103+Q103)/2,1))</f>
        <v/>
      </c>
      <c r="T103" s="10"/>
      <c r="U103" s="10"/>
    </row>
    <row r="104" customFormat="false" ht="15" hidden="false" customHeight="false" outlineLevel="0" collapsed="false">
      <c r="A104" s="18"/>
      <c r="B104" s="10"/>
      <c r="C104" s="10"/>
      <c r="D104" s="10"/>
      <c r="E104" s="10"/>
      <c r="F104" s="10"/>
      <c r="G104" s="10"/>
      <c r="H104" s="10"/>
      <c r="I104" s="10"/>
      <c r="J104" s="10"/>
      <c r="K104" s="25"/>
      <c r="L104" s="26"/>
      <c r="M104" s="25"/>
      <c r="N104" s="10"/>
      <c r="O104" s="10"/>
      <c r="P104" s="10"/>
      <c r="Q104" s="10"/>
      <c r="R104" s="27" t="str">
        <f aca="false">IF(A104="","",ROUND((N104+O104+MIN(K104/40,5)+MIN(M104/5,5))/4,1))</f>
        <v/>
      </c>
      <c r="S104" s="27" t="str">
        <f aca="false">IF(A104="","",ROUND((P104+Q104)/2,1))</f>
        <v/>
      </c>
      <c r="T104" s="10"/>
      <c r="U104" s="10"/>
    </row>
    <row r="105" customFormat="false" ht="15" hidden="false" customHeight="false" outlineLevel="0" collapsed="false">
      <c r="A105" s="18"/>
      <c r="B105" s="10"/>
      <c r="C105" s="10"/>
      <c r="D105" s="10"/>
      <c r="E105" s="10"/>
      <c r="F105" s="10"/>
      <c r="G105" s="10"/>
      <c r="H105" s="10"/>
      <c r="I105" s="10"/>
      <c r="J105" s="10"/>
      <c r="K105" s="25"/>
      <c r="L105" s="26"/>
      <c r="M105" s="25"/>
      <c r="N105" s="10"/>
      <c r="O105" s="10"/>
      <c r="P105" s="10"/>
      <c r="Q105" s="10"/>
      <c r="R105" s="27" t="str">
        <f aca="false">IF(A105="","",ROUND((N105+O105+MIN(K105/40,5)+MIN(M105/5,5))/4,1))</f>
        <v/>
      </c>
      <c r="S105" s="27" t="str">
        <f aca="false">IF(A105="","",ROUND((P105+Q105)/2,1))</f>
        <v/>
      </c>
      <c r="T105" s="10"/>
      <c r="U105" s="10"/>
    </row>
    <row r="106" customFormat="false" ht="15" hidden="false" customHeight="false" outlineLevel="0" collapsed="false">
      <c r="A106" s="18"/>
      <c r="B106" s="10"/>
      <c r="C106" s="10"/>
      <c r="D106" s="10"/>
      <c r="E106" s="10"/>
      <c r="F106" s="10"/>
      <c r="G106" s="10"/>
      <c r="H106" s="10"/>
      <c r="I106" s="10"/>
      <c r="J106" s="10"/>
      <c r="K106" s="25"/>
      <c r="L106" s="26"/>
      <c r="M106" s="25"/>
      <c r="N106" s="10"/>
      <c r="O106" s="10"/>
      <c r="P106" s="10"/>
      <c r="Q106" s="10"/>
      <c r="R106" s="27" t="str">
        <f aca="false">IF(A106="","",ROUND((N106+O106+MIN(K106/40,5)+MIN(M106/5,5))/4,1))</f>
        <v/>
      </c>
      <c r="S106" s="27" t="str">
        <f aca="false">IF(A106="","",ROUND((P106+Q106)/2,1))</f>
        <v/>
      </c>
      <c r="T106" s="10"/>
      <c r="U106" s="10"/>
    </row>
    <row r="107" customFormat="false" ht="15" hidden="false" customHeight="false" outlineLevel="0" collapsed="false">
      <c r="A107" s="18"/>
      <c r="B107" s="10"/>
      <c r="C107" s="10"/>
      <c r="D107" s="10"/>
      <c r="E107" s="10"/>
      <c r="F107" s="10"/>
      <c r="G107" s="10"/>
      <c r="H107" s="10"/>
      <c r="I107" s="10"/>
      <c r="J107" s="10"/>
      <c r="K107" s="25"/>
      <c r="L107" s="26"/>
      <c r="M107" s="25"/>
      <c r="N107" s="10"/>
      <c r="O107" s="10"/>
      <c r="P107" s="10"/>
      <c r="Q107" s="10"/>
      <c r="R107" s="27" t="str">
        <f aca="false">IF(A107="","",ROUND((N107+O107+MIN(K107/40,5)+MIN(M107/5,5))/4,1))</f>
        <v/>
      </c>
      <c r="S107" s="27" t="str">
        <f aca="false">IF(A107="","",ROUND((P107+Q107)/2,1))</f>
        <v/>
      </c>
      <c r="T107" s="10"/>
      <c r="U107" s="10"/>
    </row>
    <row r="108" customFormat="false" ht="15" hidden="false" customHeight="false" outlineLevel="0" collapsed="false">
      <c r="A108" s="18"/>
      <c r="B108" s="10"/>
      <c r="C108" s="10"/>
      <c r="D108" s="10"/>
      <c r="E108" s="10"/>
      <c r="F108" s="10"/>
      <c r="G108" s="10"/>
      <c r="H108" s="10"/>
      <c r="I108" s="10"/>
      <c r="J108" s="10"/>
      <c r="K108" s="25"/>
      <c r="L108" s="26"/>
      <c r="M108" s="25"/>
      <c r="N108" s="10"/>
      <c r="O108" s="10"/>
      <c r="P108" s="10"/>
      <c r="Q108" s="10"/>
      <c r="R108" s="27" t="str">
        <f aca="false">IF(A108="","",ROUND((N108+O108+MIN(K108/40,5)+MIN(M108/5,5))/4,1))</f>
        <v/>
      </c>
      <c r="S108" s="27" t="str">
        <f aca="false">IF(A108="","",ROUND((P108+Q108)/2,1))</f>
        <v/>
      </c>
      <c r="T108" s="10"/>
      <c r="U108" s="10"/>
    </row>
    <row r="109" customFormat="false" ht="15" hidden="false" customHeight="false" outlineLevel="0" collapsed="false">
      <c r="A109" s="18"/>
      <c r="B109" s="10"/>
      <c r="C109" s="10"/>
      <c r="D109" s="10"/>
      <c r="E109" s="10"/>
      <c r="F109" s="10"/>
      <c r="G109" s="10"/>
      <c r="H109" s="10"/>
      <c r="I109" s="10"/>
      <c r="J109" s="10"/>
      <c r="K109" s="25"/>
      <c r="L109" s="26"/>
      <c r="M109" s="25"/>
      <c r="N109" s="10"/>
      <c r="O109" s="10"/>
      <c r="P109" s="10"/>
      <c r="Q109" s="10"/>
      <c r="R109" s="27" t="str">
        <f aca="false">IF(A109="","",ROUND((N109+O109+MIN(K109/40,5)+MIN(M109/5,5))/4,1))</f>
        <v/>
      </c>
      <c r="S109" s="27" t="str">
        <f aca="false">IF(A109="","",ROUND((P109+Q109)/2,1))</f>
        <v/>
      </c>
      <c r="T109" s="10"/>
      <c r="U109" s="10"/>
    </row>
    <row r="110" customFormat="false" ht="15" hidden="false" customHeight="false" outlineLevel="0" collapsed="false">
      <c r="A110" s="18"/>
      <c r="B110" s="10"/>
      <c r="C110" s="10"/>
      <c r="D110" s="10"/>
      <c r="E110" s="10"/>
      <c r="F110" s="10"/>
      <c r="G110" s="10"/>
      <c r="H110" s="10"/>
      <c r="I110" s="10"/>
      <c r="J110" s="10"/>
      <c r="K110" s="25"/>
      <c r="L110" s="26"/>
      <c r="M110" s="25"/>
      <c r="N110" s="10"/>
      <c r="O110" s="10"/>
      <c r="P110" s="10"/>
      <c r="Q110" s="10"/>
      <c r="R110" s="27" t="str">
        <f aca="false">IF(A110="","",ROUND((N110+O110+MIN(K110/40,5)+MIN(M110/5,5))/4,1))</f>
        <v/>
      </c>
      <c r="S110" s="27" t="str">
        <f aca="false">IF(A110="","",ROUND((P110+Q110)/2,1))</f>
        <v/>
      </c>
      <c r="T110" s="10"/>
      <c r="U110" s="10"/>
    </row>
    <row r="111" customFormat="false" ht="15" hidden="false" customHeight="false" outlineLevel="0" collapsed="false">
      <c r="A111" s="18"/>
      <c r="B111" s="10"/>
      <c r="C111" s="10"/>
      <c r="D111" s="10"/>
      <c r="E111" s="10"/>
      <c r="F111" s="10"/>
      <c r="G111" s="10"/>
      <c r="H111" s="10"/>
      <c r="I111" s="10"/>
      <c r="J111" s="10"/>
      <c r="K111" s="25"/>
      <c r="L111" s="26"/>
      <c r="M111" s="25"/>
      <c r="N111" s="10"/>
      <c r="O111" s="10"/>
      <c r="P111" s="10"/>
      <c r="Q111" s="10"/>
      <c r="R111" s="27" t="str">
        <f aca="false">IF(A111="","",ROUND((N111+O111+MIN(K111/40,5)+MIN(M111/5,5))/4,1))</f>
        <v/>
      </c>
      <c r="S111" s="27" t="str">
        <f aca="false">IF(A111="","",ROUND((P111+Q111)/2,1))</f>
        <v/>
      </c>
      <c r="T111" s="10"/>
      <c r="U111" s="10"/>
    </row>
    <row r="112" customFormat="false" ht="15" hidden="false" customHeight="false" outlineLevel="0" collapsed="false">
      <c r="A112" s="18"/>
      <c r="B112" s="10"/>
      <c r="C112" s="10"/>
      <c r="D112" s="10"/>
      <c r="E112" s="10"/>
      <c r="F112" s="10"/>
      <c r="G112" s="10"/>
      <c r="H112" s="10"/>
      <c r="I112" s="10"/>
      <c r="J112" s="10"/>
      <c r="K112" s="25"/>
      <c r="L112" s="26"/>
      <c r="M112" s="25"/>
      <c r="N112" s="10"/>
      <c r="O112" s="10"/>
      <c r="P112" s="10"/>
      <c r="Q112" s="10"/>
      <c r="R112" s="27" t="str">
        <f aca="false">IF(A112="","",ROUND((N112+O112+MIN(K112/40,5)+MIN(M112/5,5))/4,1))</f>
        <v/>
      </c>
      <c r="S112" s="27" t="str">
        <f aca="false">IF(A112="","",ROUND((P112+Q112)/2,1))</f>
        <v/>
      </c>
      <c r="T112" s="10"/>
      <c r="U112" s="10"/>
    </row>
    <row r="113" customFormat="false" ht="15" hidden="false" customHeight="false" outlineLevel="0" collapsed="false">
      <c r="A113" s="18"/>
      <c r="B113" s="10"/>
      <c r="C113" s="10"/>
      <c r="D113" s="10"/>
      <c r="E113" s="10"/>
      <c r="F113" s="10"/>
      <c r="G113" s="10"/>
      <c r="H113" s="10"/>
      <c r="I113" s="10"/>
      <c r="J113" s="10"/>
      <c r="K113" s="25"/>
      <c r="L113" s="26"/>
      <c r="M113" s="25"/>
      <c r="N113" s="10"/>
      <c r="O113" s="10"/>
      <c r="P113" s="10"/>
      <c r="Q113" s="10"/>
      <c r="R113" s="27" t="str">
        <f aca="false">IF(A113="","",ROUND((N113+O113+MIN(K113/40,5)+MIN(M113/5,5))/4,1))</f>
        <v/>
      </c>
      <c r="S113" s="27" t="str">
        <f aca="false">IF(A113="","",ROUND((P113+Q113)/2,1))</f>
        <v/>
      </c>
      <c r="T113" s="10"/>
      <c r="U113" s="10"/>
    </row>
    <row r="114" customFormat="false" ht="15" hidden="false" customHeight="false" outlineLevel="0" collapsed="false">
      <c r="A114" s="18"/>
      <c r="B114" s="10"/>
      <c r="C114" s="10"/>
      <c r="D114" s="10"/>
      <c r="E114" s="10"/>
      <c r="F114" s="10"/>
      <c r="G114" s="10"/>
      <c r="H114" s="10"/>
      <c r="I114" s="10"/>
      <c r="J114" s="10"/>
      <c r="K114" s="25"/>
      <c r="L114" s="26"/>
      <c r="M114" s="25"/>
      <c r="N114" s="10"/>
      <c r="O114" s="10"/>
      <c r="P114" s="10"/>
      <c r="Q114" s="10"/>
      <c r="R114" s="27" t="str">
        <f aca="false">IF(A114="","",ROUND((N114+O114+MIN(K114/40,5)+MIN(M114/5,5))/4,1))</f>
        <v/>
      </c>
      <c r="S114" s="27" t="str">
        <f aca="false">IF(A114="","",ROUND((P114+Q114)/2,1))</f>
        <v/>
      </c>
      <c r="T114" s="10"/>
      <c r="U114" s="10"/>
    </row>
    <row r="115" customFormat="false" ht="15" hidden="false" customHeight="false" outlineLevel="0" collapsed="false">
      <c r="A115" s="18"/>
      <c r="B115" s="10"/>
      <c r="C115" s="10"/>
      <c r="D115" s="10"/>
      <c r="E115" s="10"/>
      <c r="F115" s="10"/>
      <c r="G115" s="10"/>
      <c r="H115" s="10"/>
      <c r="I115" s="10"/>
      <c r="J115" s="10"/>
      <c r="K115" s="25"/>
      <c r="L115" s="26"/>
      <c r="M115" s="25"/>
      <c r="N115" s="10"/>
      <c r="O115" s="10"/>
      <c r="P115" s="10"/>
      <c r="Q115" s="10"/>
      <c r="R115" s="27" t="str">
        <f aca="false">IF(A115="","",ROUND((N115+O115+MIN(K115/40,5)+MIN(M115/5,5))/4,1))</f>
        <v/>
      </c>
      <c r="S115" s="27" t="str">
        <f aca="false">IF(A115="","",ROUND((P115+Q115)/2,1))</f>
        <v/>
      </c>
      <c r="T115" s="10"/>
      <c r="U115" s="10"/>
    </row>
    <row r="116" customFormat="false" ht="15" hidden="false" customHeight="false" outlineLevel="0" collapsed="false">
      <c r="A116" s="18"/>
      <c r="B116" s="10"/>
      <c r="C116" s="10"/>
      <c r="D116" s="10"/>
      <c r="E116" s="10"/>
      <c r="F116" s="10"/>
      <c r="G116" s="10"/>
      <c r="H116" s="10"/>
      <c r="I116" s="10"/>
      <c r="J116" s="10"/>
      <c r="K116" s="25"/>
      <c r="L116" s="26"/>
      <c r="M116" s="25"/>
      <c r="N116" s="10"/>
      <c r="O116" s="10"/>
      <c r="P116" s="10"/>
      <c r="Q116" s="10"/>
      <c r="R116" s="27" t="str">
        <f aca="false">IF(A116="","",ROUND((N116+O116+MIN(K116/40,5)+MIN(M116/5,5))/4,1))</f>
        <v/>
      </c>
      <c r="S116" s="27" t="str">
        <f aca="false">IF(A116="","",ROUND((P116+Q116)/2,1))</f>
        <v/>
      </c>
      <c r="T116" s="10"/>
      <c r="U116" s="10"/>
    </row>
    <row r="117" customFormat="false" ht="15" hidden="false" customHeight="false" outlineLevel="0" collapsed="false">
      <c r="A117" s="18"/>
      <c r="B117" s="10"/>
      <c r="C117" s="10"/>
      <c r="D117" s="10"/>
      <c r="E117" s="10"/>
      <c r="F117" s="10"/>
      <c r="G117" s="10"/>
      <c r="H117" s="10"/>
      <c r="I117" s="10"/>
      <c r="J117" s="10"/>
      <c r="K117" s="25"/>
      <c r="L117" s="26"/>
      <c r="M117" s="25"/>
      <c r="N117" s="10"/>
      <c r="O117" s="10"/>
      <c r="P117" s="10"/>
      <c r="Q117" s="10"/>
      <c r="R117" s="27" t="str">
        <f aca="false">IF(A117="","",ROUND((N117+O117+MIN(K117/40,5)+MIN(M117/5,5))/4,1))</f>
        <v/>
      </c>
      <c r="S117" s="27" t="str">
        <f aca="false">IF(A117="","",ROUND((P117+Q117)/2,1))</f>
        <v/>
      </c>
      <c r="T117" s="10"/>
      <c r="U117" s="10"/>
    </row>
    <row r="118" customFormat="false" ht="15" hidden="false" customHeight="false" outlineLevel="0" collapsed="false">
      <c r="A118" s="18"/>
      <c r="B118" s="10"/>
      <c r="C118" s="10"/>
      <c r="D118" s="10"/>
      <c r="E118" s="10"/>
      <c r="F118" s="10"/>
      <c r="G118" s="10"/>
      <c r="H118" s="10"/>
      <c r="I118" s="10"/>
      <c r="J118" s="10"/>
      <c r="K118" s="25"/>
      <c r="L118" s="26"/>
      <c r="M118" s="25"/>
      <c r="N118" s="10"/>
      <c r="O118" s="10"/>
      <c r="P118" s="10"/>
      <c r="Q118" s="10"/>
      <c r="R118" s="27" t="str">
        <f aca="false">IF(A118="","",ROUND((N118+O118+MIN(K118/40,5)+MIN(M118/5,5))/4,1))</f>
        <v/>
      </c>
      <c r="S118" s="27" t="str">
        <f aca="false">IF(A118="","",ROUND((P118+Q118)/2,1))</f>
        <v/>
      </c>
      <c r="T118" s="10"/>
      <c r="U118" s="10"/>
    </row>
    <row r="119" customFormat="false" ht="15" hidden="false" customHeight="false" outlineLevel="0" collapsed="false">
      <c r="A119" s="18"/>
      <c r="B119" s="10"/>
      <c r="C119" s="10"/>
      <c r="D119" s="10"/>
      <c r="E119" s="10"/>
      <c r="F119" s="10"/>
      <c r="G119" s="10"/>
      <c r="H119" s="10"/>
      <c r="I119" s="10"/>
      <c r="J119" s="10"/>
      <c r="K119" s="25"/>
      <c r="L119" s="26"/>
      <c r="M119" s="25"/>
      <c r="N119" s="10"/>
      <c r="O119" s="10"/>
      <c r="P119" s="10"/>
      <c r="Q119" s="10"/>
      <c r="R119" s="27" t="str">
        <f aca="false">IF(A119="","",ROUND((N119+O119+MIN(K119/40,5)+MIN(M119/5,5))/4,1))</f>
        <v/>
      </c>
      <c r="S119" s="27" t="str">
        <f aca="false">IF(A119="","",ROUND((P119+Q119)/2,1))</f>
        <v/>
      </c>
      <c r="T119" s="10"/>
      <c r="U119" s="10"/>
    </row>
    <row r="120" customFormat="false" ht="15" hidden="false" customHeight="false" outlineLevel="0" collapsed="false">
      <c r="A120" s="18"/>
      <c r="B120" s="10"/>
      <c r="C120" s="10"/>
      <c r="D120" s="10"/>
      <c r="E120" s="10"/>
      <c r="F120" s="10"/>
      <c r="G120" s="10"/>
      <c r="H120" s="10"/>
      <c r="I120" s="10"/>
      <c r="J120" s="10"/>
      <c r="K120" s="25"/>
      <c r="L120" s="26"/>
      <c r="M120" s="25"/>
      <c r="N120" s="10"/>
      <c r="O120" s="10"/>
      <c r="P120" s="10"/>
      <c r="Q120" s="10"/>
      <c r="R120" s="27" t="str">
        <f aca="false">IF(A120="","",ROUND((N120+O120+MIN(K120/40,5)+MIN(M120/5,5))/4,1))</f>
        <v/>
      </c>
      <c r="S120" s="27" t="str">
        <f aca="false">IF(A120="","",ROUND((P120+Q120)/2,1))</f>
        <v/>
      </c>
      <c r="T120" s="10"/>
      <c r="U120" s="10"/>
    </row>
    <row r="121" customFormat="false" ht="15" hidden="false" customHeight="false" outlineLevel="0" collapsed="false">
      <c r="A121" s="18"/>
      <c r="B121" s="10"/>
      <c r="C121" s="10"/>
      <c r="D121" s="10"/>
      <c r="E121" s="10"/>
      <c r="F121" s="10"/>
      <c r="G121" s="10"/>
      <c r="H121" s="10"/>
      <c r="I121" s="10"/>
      <c r="J121" s="10"/>
      <c r="K121" s="25"/>
      <c r="L121" s="26"/>
      <c r="M121" s="25"/>
      <c r="N121" s="10"/>
      <c r="O121" s="10"/>
      <c r="P121" s="10"/>
      <c r="Q121" s="10"/>
      <c r="R121" s="27" t="str">
        <f aca="false">IF(A121="","",ROUND((N121+O121+MIN(K121/40,5)+MIN(M121/5,5))/4,1))</f>
        <v/>
      </c>
      <c r="S121" s="27" t="str">
        <f aca="false">IF(A121="","",ROUND((P121+Q121)/2,1))</f>
        <v/>
      </c>
      <c r="T121" s="10"/>
      <c r="U121" s="10"/>
    </row>
    <row r="122" customFormat="false" ht="15" hidden="false" customHeight="false" outlineLevel="0" collapsed="false">
      <c r="A122" s="18"/>
      <c r="B122" s="10"/>
      <c r="C122" s="10"/>
      <c r="D122" s="10"/>
      <c r="E122" s="10"/>
      <c r="F122" s="10"/>
      <c r="G122" s="10"/>
      <c r="H122" s="10"/>
      <c r="I122" s="10"/>
      <c r="J122" s="10"/>
      <c r="K122" s="25"/>
      <c r="L122" s="26"/>
      <c r="M122" s="25"/>
      <c r="N122" s="10"/>
      <c r="O122" s="10"/>
      <c r="P122" s="10"/>
      <c r="Q122" s="10"/>
      <c r="R122" s="27" t="str">
        <f aca="false">IF(A122="","",ROUND((N122+O122+MIN(K122/40,5)+MIN(M122/5,5))/4,1))</f>
        <v/>
      </c>
      <c r="S122" s="27" t="str">
        <f aca="false">IF(A122="","",ROUND((P122+Q122)/2,1))</f>
        <v/>
      </c>
      <c r="T122" s="10"/>
      <c r="U122" s="10"/>
    </row>
    <row r="123" customFormat="false" ht="15" hidden="false" customHeight="false" outlineLevel="0" collapsed="false">
      <c r="A123" s="18"/>
      <c r="B123" s="10"/>
      <c r="C123" s="10"/>
      <c r="D123" s="10"/>
      <c r="E123" s="10"/>
      <c r="F123" s="10"/>
      <c r="G123" s="10"/>
      <c r="H123" s="10"/>
      <c r="I123" s="10"/>
      <c r="J123" s="10"/>
      <c r="K123" s="25"/>
      <c r="L123" s="26"/>
      <c r="M123" s="25"/>
      <c r="N123" s="10"/>
      <c r="O123" s="10"/>
      <c r="P123" s="10"/>
      <c r="Q123" s="10"/>
      <c r="R123" s="27" t="str">
        <f aca="false">IF(A123="","",ROUND((N123+O123+MIN(K123/40,5)+MIN(M123/5,5))/4,1))</f>
        <v/>
      </c>
      <c r="S123" s="27" t="str">
        <f aca="false">IF(A123="","",ROUND((P123+Q123)/2,1))</f>
        <v/>
      </c>
      <c r="T123" s="10"/>
      <c r="U123" s="10"/>
    </row>
    <row r="124" customFormat="false" ht="15" hidden="false" customHeight="false" outlineLevel="0" collapsed="false">
      <c r="A124" s="18"/>
      <c r="B124" s="10"/>
      <c r="C124" s="10"/>
      <c r="D124" s="10"/>
      <c r="E124" s="10"/>
      <c r="F124" s="10"/>
      <c r="G124" s="10"/>
      <c r="H124" s="10"/>
      <c r="I124" s="10"/>
      <c r="J124" s="10"/>
      <c r="K124" s="25"/>
      <c r="L124" s="26"/>
      <c r="M124" s="25"/>
      <c r="N124" s="10"/>
      <c r="O124" s="10"/>
      <c r="P124" s="10"/>
      <c r="Q124" s="10"/>
      <c r="R124" s="27" t="str">
        <f aca="false">IF(A124="","",ROUND((N124+O124+MIN(K124/40,5)+MIN(M124/5,5))/4,1))</f>
        <v/>
      </c>
      <c r="S124" s="27" t="str">
        <f aca="false">IF(A124="","",ROUND((P124+Q124)/2,1))</f>
        <v/>
      </c>
      <c r="T124" s="10"/>
      <c r="U124" s="10"/>
    </row>
    <row r="125" customFormat="false" ht="15" hidden="false" customHeight="false" outlineLevel="0" collapsed="false">
      <c r="A125" s="18"/>
      <c r="B125" s="10"/>
      <c r="C125" s="10"/>
      <c r="D125" s="10"/>
      <c r="E125" s="10"/>
      <c r="F125" s="10"/>
      <c r="G125" s="10"/>
      <c r="H125" s="10"/>
      <c r="I125" s="10"/>
      <c r="J125" s="10"/>
      <c r="K125" s="25"/>
      <c r="L125" s="26"/>
      <c r="M125" s="25"/>
      <c r="N125" s="10"/>
      <c r="O125" s="10"/>
      <c r="P125" s="10"/>
      <c r="Q125" s="10"/>
      <c r="R125" s="27" t="str">
        <f aca="false">IF(A125="","",ROUND((N125+O125+MIN(K125/40,5)+MIN(M125/5,5))/4,1))</f>
        <v/>
      </c>
      <c r="S125" s="27" t="str">
        <f aca="false">IF(A125="","",ROUND((P125+Q125)/2,1))</f>
        <v/>
      </c>
      <c r="T125" s="10"/>
      <c r="U125" s="10"/>
    </row>
    <row r="126" customFormat="false" ht="15" hidden="false" customHeight="false" outlineLevel="0" collapsed="false">
      <c r="A126" s="18"/>
      <c r="B126" s="10"/>
      <c r="C126" s="10"/>
      <c r="D126" s="10"/>
      <c r="E126" s="10"/>
      <c r="F126" s="10"/>
      <c r="G126" s="10"/>
      <c r="H126" s="10"/>
      <c r="I126" s="10"/>
      <c r="J126" s="10"/>
      <c r="K126" s="25"/>
      <c r="L126" s="26"/>
      <c r="M126" s="25"/>
      <c r="N126" s="10"/>
      <c r="O126" s="10"/>
      <c r="P126" s="10"/>
      <c r="Q126" s="10"/>
      <c r="R126" s="27" t="str">
        <f aca="false">IF(A126="","",ROUND((N126+O126+MIN(K126/40,5)+MIN(M126/5,5))/4,1))</f>
        <v/>
      </c>
      <c r="S126" s="27" t="str">
        <f aca="false">IF(A126="","",ROUND((P126+Q126)/2,1))</f>
        <v/>
      </c>
      <c r="T126" s="10"/>
      <c r="U126" s="10"/>
    </row>
    <row r="127" customFormat="false" ht="15" hidden="false" customHeight="false" outlineLevel="0" collapsed="false">
      <c r="A127" s="18"/>
      <c r="B127" s="10"/>
      <c r="C127" s="10"/>
      <c r="D127" s="10"/>
      <c r="E127" s="10"/>
      <c r="F127" s="10"/>
      <c r="G127" s="10"/>
      <c r="H127" s="10"/>
      <c r="I127" s="10"/>
      <c r="J127" s="10"/>
      <c r="K127" s="25"/>
      <c r="L127" s="26"/>
      <c r="M127" s="25"/>
      <c r="N127" s="10"/>
      <c r="O127" s="10"/>
      <c r="P127" s="10"/>
      <c r="Q127" s="10"/>
      <c r="R127" s="27" t="str">
        <f aca="false">IF(A127="","",ROUND((N127+O127+MIN(K127/40,5)+MIN(M127/5,5))/4,1))</f>
        <v/>
      </c>
      <c r="S127" s="27" t="str">
        <f aca="false">IF(A127="","",ROUND((P127+Q127)/2,1))</f>
        <v/>
      </c>
      <c r="T127" s="10"/>
      <c r="U127" s="10"/>
    </row>
    <row r="128" customFormat="false" ht="15" hidden="false" customHeight="false" outlineLevel="0" collapsed="false">
      <c r="A128" s="18"/>
      <c r="B128" s="10"/>
      <c r="C128" s="10"/>
      <c r="D128" s="10"/>
      <c r="E128" s="10"/>
      <c r="F128" s="10"/>
      <c r="G128" s="10"/>
      <c r="H128" s="10"/>
      <c r="I128" s="10"/>
      <c r="J128" s="10"/>
      <c r="K128" s="25"/>
      <c r="L128" s="26"/>
      <c r="M128" s="25"/>
      <c r="N128" s="10"/>
      <c r="O128" s="10"/>
      <c r="P128" s="10"/>
      <c r="Q128" s="10"/>
      <c r="R128" s="27" t="str">
        <f aca="false">IF(A128="","",ROUND((N128+O128+MIN(K128/40,5)+MIN(M128/5,5))/4,1))</f>
        <v/>
      </c>
      <c r="S128" s="27" t="str">
        <f aca="false">IF(A128="","",ROUND((P128+Q128)/2,1))</f>
        <v/>
      </c>
      <c r="T128" s="10"/>
      <c r="U128" s="10"/>
    </row>
    <row r="129" customFormat="false" ht="15" hidden="false" customHeight="false" outlineLevel="0" collapsed="false">
      <c r="A129" s="18"/>
      <c r="B129" s="10"/>
      <c r="C129" s="10"/>
      <c r="D129" s="10"/>
      <c r="E129" s="10"/>
      <c r="F129" s="10"/>
      <c r="G129" s="10"/>
      <c r="H129" s="10"/>
      <c r="I129" s="10"/>
      <c r="J129" s="10"/>
      <c r="K129" s="25"/>
      <c r="L129" s="26"/>
      <c r="M129" s="25"/>
      <c r="N129" s="10"/>
      <c r="O129" s="10"/>
      <c r="P129" s="10"/>
      <c r="Q129" s="10"/>
      <c r="R129" s="27" t="str">
        <f aca="false">IF(A129="","",ROUND((N129+O129+MIN(K129/40,5)+MIN(M129/5,5))/4,1))</f>
        <v/>
      </c>
      <c r="S129" s="27" t="str">
        <f aca="false">IF(A129="","",ROUND((P129+Q129)/2,1))</f>
        <v/>
      </c>
      <c r="T129" s="10"/>
      <c r="U129" s="10"/>
    </row>
    <row r="130" customFormat="false" ht="15" hidden="false" customHeight="false" outlineLevel="0" collapsed="false">
      <c r="A130" s="18"/>
      <c r="B130" s="10"/>
      <c r="C130" s="10"/>
      <c r="D130" s="10"/>
      <c r="E130" s="10"/>
      <c r="F130" s="10"/>
      <c r="G130" s="10"/>
      <c r="H130" s="10"/>
      <c r="I130" s="10"/>
      <c r="J130" s="10"/>
      <c r="K130" s="25"/>
      <c r="L130" s="26"/>
      <c r="M130" s="25"/>
      <c r="N130" s="10"/>
      <c r="O130" s="10"/>
      <c r="P130" s="10"/>
      <c r="Q130" s="10"/>
      <c r="R130" s="27" t="str">
        <f aca="false">IF(A130="","",ROUND((N130+O130+MIN(K130/40,5)+MIN(M130/5,5))/4,1))</f>
        <v/>
      </c>
      <c r="S130" s="27" t="str">
        <f aca="false">IF(A130="","",ROUND((P130+Q130)/2,1))</f>
        <v/>
      </c>
      <c r="T130" s="10"/>
      <c r="U130" s="10"/>
    </row>
    <row r="131" customFormat="false" ht="15" hidden="false" customHeight="false" outlineLevel="0" collapsed="false">
      <c r="A131" s="18"/>
      <c r="B131" s="10"/>
      <c r="C131" s="10"/>
      <c r="D131" s="10"/>
      <c r="E131" s="10"/>
      <c r="F131" s="10"/>
      <c r="G131" s="10"/>
      <c r="H131" s="10"/>
      <c r="I131" s="10"/>
      <c r="J131" s="10"/>
      <c r="K131" s="25"/>
      <c r="L131" s="26"/>
      <c r="M131" s="25"/>
      <c r="N131" s="10"/>
      <c r="O131" s="10"/>
      <c r="P131" s="10"/>
      <c r="Q131" s="10"/>
      <c r="R131" s="27" t="str">
        <f aca="false">IF(A131="","",ROUND((N131+O131+MIN(K131/40,5)+MIN(M131/5,5))/4,1))</f>
        <v/>
      </c>
      <c r="S131" s="27" t="str">
        <f aca="false">IF(A131="","",ROUND((P131+Q131)/2,1))</f>
        <v/>
      </c>
      <c r="T131" s="10"/>
      <c r="U131" s="10"/>
    </row>
    <row r="132" customFormat="false" ht="15" hidden="false" customHeight="false" outlineLevel="0" collapsed="false">
      <c r="A132" s="18"/>
      <c r="B132" s="10"/>
      <c r="C132" s="10"/>
      <c r="D132" s="10"/>
      <c r="E132" s="10"/>
      <c r="F132" s="10"/>
      <c r="G132" s="10"/>
      <c r="H132" s="10"/>
      <c r="I132" s="10"/>
      <c r="J132" s="10"/>
      <c r="K132" s="25"/>
      <c r="L132" s="26"/>
      <c r="M132" s="25"/>
      <c r="N132" s="10"/>
      <c r="O132" s="10"/>
      <c r="P132" s="10"/>
      <c r="Q132" s="10"/>
      <c r="R132" s="27" t="str">
        <f aca="false">IF(A132="","",ROUND((N132+O132+MIN(K132/40,5)+MIN(M132/5,5))/4,1))</f>
        <v/>
      </c>
      <c r="S132" s="27" t="str">
        <f aca="false">IF(A132="","",ROUND((P132+Q132)/2,1))</f>
        <v/>
      </c>
      <c r="T132" s="10"/>
      <c r="U132" s="10"/>
    </row>
    <row r="133" customFormat="false" ht="15" hidden="false" customHeight="false" outlineLevel="0" collapsed="false">
      <c r="A133" s="18"/>
      <c r="B133" s="10"/>
      <c r="C133" s="10"/>
      <c r="D133" s="10"/>
      <c r="E133" s="10"/>
      <c r="F133" s="10"/>
      <c r="G133" s="10"/>
      <c r="H133" s="10"/>
      <c r="I133" s="10"/>
      <c r="J133" s="10"/>
      <c r="K133" s="25"/>
      <c r="L133" s="26"/>
      <c r="M133" s="25"/>
      <c r="N133" s="10"/>
      <c r="O133" s="10"/>
      <c r="P133" s="10"/>
      <c r="Q133" s="10"/>
      <c r="R133" s="27" t="str">
        <f aca="false">IF(A133="","",ROUND((N133+O133+MIN(K133/40,5)+MIN(M133/5,5))/4,1))</f>
        <v/>
      </c>
      <c r="S133" s="27" t="str">
        <f aca="false">IF(A133="","",ROUND((P133+Q133)/2,1))</f>
        <v/>
      </c>
      <c r="T133" s="10"/>
      <c r="U133" s="10"/>
    </row>
    <row r="134" customFormat="false" ht="15" hidden="false" customHeight="false" outlineLevel="0" collapsed="false">
      <c r="A134" s="18"/>
      <c r="B134" s="10"/>
      <c r="C134" s="10"/>
      <c r="D134" s="10"/>
      <c r="E134" s="10"/>
      <c r="F134" s="10"/>
      <c r="G134" s="10"/>
      <c r="H134" s="10"/>
      <c r="I134" s="10"/>
      <c r="J134" s="10"/>
      <c r="K134" s="25"/>
      <c r="L134" s="26"/>
      <c r="M134" s="25"/>
      <c r="N134" s="10"/>
      <c r="O134" s="10"/>
      <c r="P134" s="10"/>
      <c r="Q134" s="10"/>
      <c r="R134" s="27" t="str">
        <f aca="false">IF(A134="","",ROUND((N134+O134+MIN(K134/40,5)+MIN(M134/5,5))/4,1))</f>
        <v/>
      </c>
      <c r="S134" s="27" t="str">
        <f aca="false">IF(A134="","",ROUND((P134+Q134)/2,1))</f>
        <v/>
      </c>
      <c r="T134" s="10"/>
      <c r="U134" s="10"/>
    </row>
    <row r="135" customFormat="false" ht="15" hidden="false" customHeight="false" outlineLevel="0" collapsed="false">
      <c r="A135" s="18"/>
      <c r="B135" s="10"/>
      <c r="C135" s="10"/>
      <c r="D135" s="10"/>
      <c r="E135" s="10"/>
      <c r="F135" s="10"/>
      <c r="G135" s="10"/>
      <c r="H135" s="10"/>
      <c r="I135" s="10"/>
      <c r="J135" s="10"/>
      <c r="K135" s="25"/>
      <c r="L135" s="26"/>
      <c r="M135" s="25"/>
      <c r="N135" s="10"/>
      <c r="O135" s="10"/>
      <c r="P135" s="10"/>
      <c r="Q135" s="10"/>
      <c r="R135" s="27" t="str">
        <f aca="false">IF(A135="","",ROUND((N135+O135+MIN(K135/40,5)+MIN(M135/5,5))/4,1))</f>
        <v/>
      </c>
      <c r="S135" s="27" t="str">
        <f aca="false">IF(A135="","",ROUND((P135+Q135)/2,1))</f>
        <v/>
      </c>
      <c r="T135" s="10"/>
      <c r="U135" s="10"/>
    </row>
    <row r="136" customFormat="false" ht="15" hidden="false" customHeight="false" outlineLevel="0" collapsed="false">
      <c r="A136" s="18"/>
      <c r="B136" s="10"/>
      <c r="C136" s="10"/>
      <c r="D136" s="10"/>
      <c r="E136" s="10"/>
      <c r="F136" s="10"/>
      <c r="G136" s="10"/>
      <c r="H136" s="10"/>
      <c r="I136" s="10"/>
      <c r="J136" s="10"/>
      <c r="K136" s="25"/>
      <c r="L136" s="26"/>
      <c r="M136" s="25"/>
      <c r="N136" s="10"/>
      <c r="O136" s="10"/>
      <c r="P136" s="10"/>
      <c r="Q136" s="10"/>
      <c r="R136" s="27" t="str">
        <f aca="false">IF(A136="","",ROUND((N136+O136+MIN(K136/40,5)+MIN(M136/5,5))/4,1))</f>
        <v/>
      </c>
      <c r="S136" s="27" t="str">
        <f aca="false">IF(A136="","",ROUND((P136+Q136)/2,1))</f>
        <v/>
      </c>
      <c r="T136" s="10"/>
      <c r="U136" s="10"/>
    </row>
    <row r="137" customFormat="false" ht="15" hidden="false" customHeight="false" outlineLevel="0" collapsed="false">
      <c r="A137" s="18"/>
      <c r="B137" s="10"/>
      <c r="C137" s="10"/>
      <c r="D137" s="10"/>
      <c r="E137" s="10"/>
      <c r="F137" s="10"/>
      <c r="G137" s="10"/>
      <c r="H137" s="10"/>
      <c r="I137" s="10"/>
      <c r="J137" s="10"/>
      <c r="K137" s="25"/>
      <c r="L137" s="26"/>
      <c r="M137" s="25"/>
      <c r="N137" s="10"/>
      <c r="O137" s="10"/>
      <c r="P137" s="10"/>
      <c r="Q137" s="10"/>
      <c r="R137" s="27" t="str">
        <f aca="false">IF(A137="","",ROUND((N137+O137+MIN(K137/40,5)+MIN(M137/5,5))/4,1))</f>
        <v/>
      </c>
      <c r="S137" s="27" t="str">
        <f aca="false">IF(A137="","",ROUND((P137+Q137)/2,1))</f>
        <v/>
      </c>
      <c r="T137" s="10"/>
      <c r="U137" s="10"/>
    </row>
    <row r="138" customFormat="false" ht="15" hidden="false" customHeight="false" outlineLevel="0" collapsed="false">
      <c r="A138" s="18"/>
      <c r="B138" s="10"/>
      <c r="C138" s="10"/>
      <c r="D138" s="10"/>
      <c r="E138" s="10"/>
      <c r="F138" s="10"/>
      <c r="G138" s="10"/>
      <c r="H138" s="10"/>
      <c r="I138" s="10"/>
      <c r="J138" s="10"/>
      <c r="K138" s="25"/>
      <c r="L138" s="26"/>
      <c r="M138" s="25"/>
      <c r="N138" s="10"/>
      <c r="O138" s="10"/>
      <c r="P138" s="10"/>
      <c r="Q138" s="10"/>
      <c r="R138" s="27" t="str">
        <f aca="false">IF(A138="","",ROUND((N138+O138+MIN(K138/40,5)+MIN(M138/5,5))/4,1))</f>
        <v/>
      </c>
      <c r="S138" s="27" t="str">
        <f aca="false">IF(A138="","",ROUND((P138+Q138)/2,1))</f>
        <v/>
      </c>
      <c r="T138" s="10"/>
      <c r="U138" s="10"/>
    </row>
    <row r="139" customFormat="false" ht="15" hidden="false" customHeight="false" outlineLevel="0" collapsed="false">
      <c r="A139" s="18"/>
      <c r="B139" s="10"/>
      <c r="C139" s="10"/>
      <c r="D139" s="10"/>
      <c r="E139" s="10"/>
      <c r="F139" s="10"/>
      <c r="G139" s="10"/>
      <c r="H139" s="10"/>
      <c r="I139" s="10"/>
      <c r="J139" s="10"/>
      <c r="K139" s="25"/>
      <c r="L139" s="26"/>
      <c r="M139" s="25"/>
      <c r="N139" s="10"/>
      <c r="O139" s="10"/>
      <c r="P139" s="10"/>
      <c r="Q139" s="10"/>
      <c r="R139" s="27" t="str">
        <f aca="false">IF(A139="","",ROUND((N139+O139+MIN(K139/40,5)+MIN(M139/5,5))/4,1))</f>
        <v/>
      </c>
      <c r="S139" s="27" t="str">
        <f aca="false">IF(A139="","",ROUND((P139+Q139)/2,1))</f>
        <v/>
      </c>
      <c r="T139" s="10"/>
      <c r="U139" s="10"/>
    </row>
    <row r="140" customFormat="false" ht="15" hidden="false" customHeight="false" outlineLevel="0" collapsed="false">
      <c r="A140" s="18"/>
      <c r="B140" s="10"/>
      <c r="C140" s="10"/>
      <c r="D140" s="10"/>
      <c r="E140" s="10"/>
      <c r="F140" s="10"/>
      <c r="G140" s="10"/>
      <c r="H140" s="10"/>
      <c r="I140" s="10"/>
      <c r="J140" s="10"/>
      <c r="K140" s="25"/>
      <c r="L140" s="26"/>
      <c r="M140" s="25"/>
      <c r="N140" s="10"/>
      <c r="O140" s="10"/>
      <c r="P140" s="10"/>
      <c r="Q140" s="10"/>
      <c r="R140" s="27" t="str">
        <f aca="false">IF(A140="","",ROUND((N140+O140+MIN(K140/40,5)+MIN(M140/5,5))/4,1))</f>
        <v/>
      </c>
      <c r="S140" s="27" t="str">
        <f aca="false">IF(A140="","",ROUND((P140+Q140)/2,1))</f>
        <v/>
      </c>
      <c r="T140" s="10"/>
      <c r="U140" s="10"/>
    </row>
    <row r="141" customFormat="false" ht="15" hidden="false" customHeight="false" outlineLevel="0" collapsed="false">
      <c r="A141" s="18"/>
      <c r="B141" s="10"/>
      <c r="C141" s="10"/>
      <c r="D141" s="10"/>
      <c r="E141" s="10"/>
      <c r="F141" s="10"/>
      <c r="G141" s="10"/>
      <c r="H141" s="10"/>
      <c r="I141" s="10"/>
      <c r="J141" s="10"/>
      <c r="K141" s="25"/>
      <c r="L141" s="26"/>
      <c r="M141" s="25"/>
      <c r="N141" s="10"/>
      <c r="O141" s="10"/>
      <c r="P141" s="10"/>
      <c r="Q141" s="10"/>
      <c r="R141" s="27" t="str">
        <f aca="false">IF(A141="","",ROUND((N141+O141+MIN(K141/40,5)+MIN(M141/5,5))/4,1))</f>
        <v/>
      </c>
      <c r="S141" s="27" t="str">
        <f aca="false">IF(A141="","",ROUND((P141+Q141)/2,1))</f>
        <v/>
      </c>
      <c r="T141" s="10"/>
      <c r="U141" s="10"/>
    </row>
    <row r="142" customFormat="false" ht="15" hidden="false" customHeight="false" outlineLevel="0" collapsed="false">
      <c r="A142" s="18"/>
      <c r="B142" s="10"/>
      <c r="C142" s="10"/>
      <c r="D142" s="10"/>
      <c r="E142" s="10"/>
      <c r="F142" s="10"/>
      <c r="G142" s="10"/>
      <c r="H142" s="10"/>
      <c r="I142" s="10"/>
      <c r="J142" s="10"/>
      <c r="K142" s="25"/>
      <c r="L142" s="26"/>
      <c r="M142" s="25"/>
      <c r="N142" s="10"/>
      <c r="O142" s="10"/>
      <c r="P142" s="10"/>
      <c r="Q142" s="10"/>
      <c r="R142" s="27" t="str">
        <f aca="false">IF(A142="","",ROUND((N142+O142+MIN(K142/40,5)+MIN(M142/5,5))/4,1))</f>
        <v/>
      </c>
      <c r="S142" s="27" t="str">
        <f aca="false">IF(A142="","",ROUND((P142+Q142)/2,1))</f>
        <v/>
      </c>
      <c r="T142" s="10"/>
      <c r="U142" s="10"/>
    </row>
    <row r="143" customFormat="false" ht="15" hidden="false" customHeight="false" outlineLevel="0" collapsed="false">
      <c r="A143" s="18"/>
      <c r="B143" s="10"/>
      <c r="C143" s="10"/>
      <c r="D143" s="10"/>
      <c r="E143" s="10"/>
      <c r="F143" s="10"/>
      <c r="G143" s="10"/>
      <c r="H143" s="10"/>
      <c r="I143" s="10"/>
      <c r="J143" s="10"/>
      <c r="K143" s="25"/>
      <c r="L143" s="26"/>
      <c r="M143" s="25"/>
      <c r="N143" s="10"/>
      <c r="O143" s="10"/>
      <c r="P143" s="10"/>
      <c r="Q143" s="10"/>
      <c r="R143" s="27" t="str">
        <f aca="false">IF(A143="","",ROUND((N143+O143+MIN(K143/40,5)+MIN(M143/5,5))/4,1))</f>
        <v/>
      </c>
      <c r="S143" s="27" t="str">
        <f aca="false">IF(A143="","",ROUND((P143+Q143)/2,1))</f>
        <v/>
      </c>
      <c r="T143" s="10"/>
      <c r="U143" s="10"/>
    </row>
    <row r="144" customFormat="false" ht="15" hidden="false" customHeight="false" outlineLevel="0" collapsed="false">
      <c r="A144" s="18"/>
      <c r="B144" s="10"/>
      <c r="C144" s="10"/>
      <c r="D144" s="10"/>
      <c r="E144" s="10"/>
      <c r="F144" s="10"/>
      <c r="G144" s="10"/>
      <c r="H144" s="10"/>
      <c r="I144" s="10"/>
      <c r="J144" s="10"/>
      <c r="K144" s="25"/>
      <c r="L144" s="26"/>
      <c r="M144" s="25"/>
      <c r="N144" s="10"/>
      <c r="O144" s="10"/>
      <c r="P144" s="10"/>
      <c r="Q144" s="10"/>
      <c r="R144" s="27" t="str">
        <f aca="false">IF(A144="","",ROUND((N144+O144+MIN(K144/40,5)+MIN(M144/5,5))/4,1))</f>
        <v/>
      </c>
      <c r="S144" s="27" t="str">
        <f aca="false">IF(A144="","",ROUND((P144+Q144)/2,1))</f>
        <v/>
      </c>
      <c r="T144" s="10"/>
      <c r="U144" s="10"/>
    </row>
    <row r="145" customFormat="false" ht="15" hidden="false" customHeight="false" outlineLevel="0" collapsed="false">
      <c r="A145" s="18"/>
      <c r="B145" s="10"/>
      <c r="C145" s="10"/>
      <c r="D145" s="10"/>
      <c r="E145" s="10"/>
      <c r="F145" s="10"/>
      <c r="G145" s="10"/>
      <c r="H145" s="10"/>
      <c r="I145" s="10"/>
      <c r="J145" s="10"/>
      <c r="K145" s="25"/>
      <c r="L145" s="26"/>
      <c r="M145" s="25"/>
      <c r="N145" s="10"/>
      <c r="O145" s="10"/>
      <c r="P145" s="10"/>
      <c r="Q145" s="10"/>
      <c r="R145" s="27" t="str">
        <f aca="false">IF(A145="","",ROUND((N145+O145+MIN(K145/40,5)+MIN(M145/5,5))/4,1))</f>
        <v/>
      </c>
      <c r="S145" s="27" t="str">
        <f aca="false">IF(A145="","",ROUND((P145+Q145)/2,1))</f>
        <v/>
      </c>
      <c r="T145" s="10"/>
      <c r="U145" s="10"/>
    </row>
    <row r="146" customFormat="false" ht="15" hidden="false" customHeight="false" outlineLevel="0" collapsed="false">
      <c r="A146" s="18"/>
      <c r="B146" s="10"/>
      <c r="C146" s="10"/>
      <c r="D146" s="10"/>
      <c r="E146" s="10"/>
      <c r="F146" s="10"/>
      <c r="G146" s="10"/>
      <c r="H146" s="10"/>
      <c r="I146" s="10"/>
      <c r="J146" s="10"/>
      <c r="K146" s="25"/>
      <c r="L146" s="26"/>
      <c r="M146" s="25"/>
      <c r="N146" s="10"/>
      <c r="O146" s="10"/>
      <c r="P146" s="10"/>
      <c r="Q146" s="10"/>
      <c r="R146" s="27" t="str">
        <f aca="false">IF(A146="","",ROUND((N146+O146+MIN(K146/40,5)+MIN(M146/5,5))/4,1))</f>
        <v/>
      </c>
      <c r="S146" s="27" t="str">
        <f aca="false">IF(A146="","",ROUND((P146+Q146)/2,1))</f>
        <v/>
      </c>
      <c r="T146" s="10"/>
      <c r="U146" s="10"/>
    </row>
    <row r="147" customFormat="false" ht="15" hidden="false" customHeight="false" outlineLevel="0" collapsed="false">
      <c r="A147" s="18"/>
      <c r="B147" s="10"/>
      <c r="C147" s="10"/>
      <c r="D147" s="10"/>
      <c r="E147" s="10"/>
      <c r="F147" s="10"/>
      <c r="G147" s="10"/>
      <c r="H147" s="10"/>
      <c r="I147" s="10"/>
      <c r="J147" s="10"/>
      <c r="K147" s="25"/>
      <c r="L147" s="26"/>
      <c r="M147" s="25"/>
      <c r="N147" s="10"/>
      <c r="O147" s="10"/>
      <c r="P147" s="10"/>
      <c r="Q147" s="10"/>
      <c r="R147" s="27" t="str">
        <f aca="false">IF(A147="","",ROUND((N147+O147+MIN(K147/40,5)+MIN(M147/5,5))/4,1))</f>
        <v/>
      </c>
      <c r="S147" s="27" t="str">
        <f aca="false">IF(A147="","",ROUND((P147+Q147)/2,1))</f>
        <v/>
      </c>
      <c r="T147" s="10"/>
      <c r="U147" s="10"/>
    </row>
    <row r="148" customFormat="false" ht="15" hidden="false" customHeight="false" outlineLevel="0" collapsed="false">
      <c r="A148" s="18"/>
      <c r="B148" s="10"/>
      <c r="C148" s="10"/>
      <c r="D148" s="10"/>
      <c r="E148" s="10"/>
      <c r="F148" s="10"/>
      <c r="G148" s="10"/>
      <c r="H148" s="10"/>
      <c r="I148" s="10"/>
      <c r="J148" s="10"/>
      <c r="K148" s="25"/>
      <c r="L148" s="26"/>
      <c r="M148" s="25"/>
      <c r="N148" s="10"/>
      <c r="O148" s="10"/>
      <c r="P148" s="10"/>
      <c r="Q148" s="10"/>
      <c r="R148" s="27" t="str">
        <f aca="false">IF(A148="","",ROUND((N148+O148+MIN(K148/40,5)+MIN(M148/5,5))/4,1))</f>
        <v/>
      </c>
      <c r="S148" s="27" t="str">
        <f aca="false">IF(A148="","",ROUND((P148+Q148)/2,1))</f>
        <v/>
      </c>
      <c r="T148" s="10"/>
      <c r="U148" s="10"/>
    </row>
    <row r="149" customFormat="false" ht="15" hidden="false" customHeight="false" outlineLevel="0" collapsed="false">
      <c r="A149" s="18"/>
      <c r="B149" s="10"/>
      <c r="C149" s="10"/>
      <c r="D149" s="10"/>
      <c r="E149" s="10"/>
      <c r="F149" s="10"/>
      <c r="G149" s="10"/>
      <c r="H149" s="10"/>
      <c r="I149" s="10"/>
      <c r="J149" s="10"/>
      <c r="K149" s="25"/>
      <c r="L149" s="26"/>
      <c r="M149" s="25"/>
      <c r="N149" s="10"/>
      <c r="O149" s="10"/>
      <c r="P149" s="10"/>
      <c r="Q149" s="10"/>
      <c r="R149" s="27" t="str">
        <f aca="false">IF(A149="","",ROUND((N149+O149+MIN(K149/40,5)+MIN(M149/5,5))/4,1))</f>
        <v/>
      </c>
      <c r="S149" s="27" t="str">
        <f aca="false">IF(A149="","",ROUND((P149+Q149)/2,1))</f>
        <v/>
      </c>
      <c r="T149" s="10"/>
      <c r="U149" s="10"/>
    </row>
    <row r="150" customFormat="false" ht="15" hidden="false" customHeight="false" outlineLevel="0" collapsed="false">
      <c r="A150" s="18"/>
      <c r="B150" s="10"/>
      <c r="C150" s="10"/>
      <c r="D150" s="10"/>
      <c r="E150" s="10"/>
      <c r="F150" s="10"/>
      <c r="G150" s="10"/>
      <c r="H150" s="10"/>
      <c r="I150" s="10"/>
      <c r="J150" s="10"/>
      <c r="K150" s="25"/>
      <c r="L150" s="26"/>
      <c r="M150" s="25"/>
      <c r="N150" s="10"/>
      <c r="O150" s="10"/>
      <c r="P150" s="10"/>
      <c r="Q150" s="10"/>
      <c r="R150" s="27" t="str">
        <f aca="false">IF(A150="","",ROUND((N150+O150+MIN(K150/40,5)+MIN(M150/5,5))/4,1))</f>
        <v/>
      </c>
      <c r="S150" s="27" t="str">
        <f aca="false">IF(A150="","",ROUND((P150+Q150)/2,1))</f>
        <v/>
      </c>
      <c r="T150" s="10"/>
      <c r="U150" s="10"/>
    </row>
    <row r="151" customFormat="false" ht="15" hidden="false" customHeight="false" outlineLevel="0" collapsed="false">
      <c r="A151" s="18"/>
      <c r="B151" s="10"/>
      <c r="C151" s="10"/>
      <c r="D151" s="10"/>
      <c r="E151" s="10"/>
      <c r="F151" s="10"/>
      <c r="G151" s="10"/>
      <c r="H151" s="10"/>
      <c r="I151" s="10"/>
      <c r="J151" s="10"/>
      <c r="K151" s="25"/>
      <c r="L151" s="26"/>
      <c r="M151" s="25"/>
      <c r="N151" s="10"/>
      <c r="O151" s="10"/>
      <c r="P151" s="10"/>
      <c r="Q151" s="10"/>
      <c r="R151" s="27" t="str">
        <f aca="false">IF(A151="","",ROUND((N151+O151+MIN(K151/40,5)+MIN(M151/5,5))/4,1))</f>
        <v/>
      </c>
      <c r="S151" s="27" t="str">
        <f aca="false">IF(A151="","",ROUND((P151+Q151)/2,1))</f>
        <v/>
      </c>
      <c r="T151" s="10"/>
      <c r="U151" s="10"/>
    </row>
    <row r="152" customFormat="false" ht="15" hidden="false" customHeight="false" outlineLevel="0" collapsed="false">
      <c r="A152" s="18"/>
      <c r="B152" s="10"/>
      <c r="C152" s="10"/>
      <c r="D152" s="10"/>
      <c r="E152" s="10"/>
      <c r="F152" s="10"/>
      <c r="G152" s="10"/>
      <c r="H152" s="10"/>
      <c r="I152" s="10"/>
      <c r="J152" s="10"/>
      <c r="K152" s="25"/>
      <c r="L152" s="26"/>
      <c r="M152" s="25"/>
      <c r="N152" s="10"/>
      <c r="O152" s="10"/>
      <c r="P152" s="10"/>
      <c r="Q152" s="10"/>
      <c r="R152" s="27" t="str">
        <f aca="false">IF(A152="","",ROUND((N152+O152+MIN(K152/40,5)+MIN(M152/5,5))/4,1))</f>
        <v/>
      </c>
      <c r="S152" s="27" t="str">
        <f aca="false">IF(A152="","",ROUND((P152+Q152)/2,1))</f>
        <v/>
      </c>
      <c r="T152" s="10"/>
      <c r="U152" s="10"/>
    </row>
    <row r="153" customFormat="false" ht="15" hidden="false" customHeight="false" outlineLevel="0" collapsed="false">
      <c r="A153" s="18"/>
      <c r="B153" s="10"/>
      <c r="C153" s="10"/>
      <c r="D153" s="10"/>
      <c r="E153" s="10"/>
      <c r="F153" s="10"/>
      <c r="G153" s="10"/>
      <c r="H153" s="10"/>
      <c r="I153" s="10"/>
      <c r="J153" s="10"/>
      <c r="K153" s="25"/>
      <c r="L153" s="26"/>
      <c r="M153" s="25"/>
      <c r="N153" s="10"/>
      <c r="O153" s="10"/>
      <c r="P153" s="10"/>
      <c r="Q153" s="10"/>
      <c r="R153" s="27" t="str">
        <f aca="false">IF(A153="","",ROUND((N153+O153+MIN(K153/40,5)+MIN(M153/5,5))/4,1))</f>
        <v/>
      </c>
      <c r="S153" s="27" t="str">
        <f aca="false">IF(A153="","",ROUND((P153+Q153)/2,1))</f>
        <v/>
      </c>
      <c r="T153" s="10"/>
      <c r="U153" s="10"/>
    </row>
    <row r="154" customFormat="false" ht="15" hidden="false" customHeight="false" outlineLevel="0" collapsed="false">
      <c r="A154" s="18"/>
      <c r="B154" s="10"/>
      <c r="C154" s="10"/>
      <c r="D154" s="10"/>
      <c r="E154" s="10"/>
      <c r="F154" s="10"/>
      <c r="G154" s="10"/>
      <c r="H154" s="10"/>
      <c r="I154" s="10"/>
      <c r="J154" s="10"/>
      <c r="K154" s="25"/>
      <c r="L154" s="26"/>
      <c r="M154" s="25"/>
      <c r="N154" s="10"/>
      <c r="O154" s="10"/>
      <c r="P154" s="10"/>
      <c r="Q154" s="10"/>
      <c r="R154" s="27" t="str">
        <f aca="false">IF(A154="","",ROUND((N154+O154+MIN(K154/40,5)+MIN(M154/5,5))/4,1))</f>
        <v/>
      </c>
      <c r="S154" s="27" t="str">
        <f aca="false">IF(A154="","",ROUND((P154+Q154)/2,1))</f>
        <v/>
      </c>
      <c r="T154" s="10"/>
      <c r="U154" s="10"/>
    </row>
    <row r="155" customFormat="false" ht="15" hidden="false" customHeight="false" outlineLevel="0" collapsed="false">
      <c r="A155" s="18"/>
      <c r="B155" s="10"/>
      <c r="C155" s="10"/>
      <c r="D155" s="10"/>
      <c r="E155" s="10"/>
      <c r="F155" s="10"/>
      <c r="G155" s="10"/>
      <c r="H155" s="10"/>
      <c r="I155" s="10"/>
      <c r="J155" s="10"/>
      <c r="K155" s="25"/>
      <c r="L155" s="26"/>
      <c r="M155" s="25"/>
      <c r="N155" s="10"/>
      <c r="O155" s="10"/>
      <c r="P155" s="10"/>
      <c r="Q155" s="10"/>
      <c r="R155" s="27" t="str">
        <f aca="false">IF(A155="","",ROUND((N155+O155+MIN(K155/40,5)+MIN(M155/5,5))/4,1))</f>
        <v/>
      </c>
      <c r="S155" s="27" t="str">
        <f aca="false">IF(A155="","",ROUND((P155+Q155)/2,1))</f>
        <v/>
      </c>
      <c r="T155" s="10"/>
      <c r="U155" s="10"/>
    </row>
    <row r="156" customFormat="false" ht="15" hidden="false" customHeight="false" outlineLevel="0" collapsed="false">
      <c r="A156" s="18"/>
      <c r="B156" s="10"/>
      <c r="C156" s="10"/>
      <c r="D156" s="10"/>
      <c r="E156" s="10"/>
      <c r="F156" s="10"/>
      <c r="G156" s="10"/>
      <c r="H156" s="10"/>
      <c r="I156" s="10"/>
      <c r="J156" s="10"/>
      <c r="K156" s="25"/>
      <c r="L156" s="26"/>
      <c r="M156" s="25"/>
      <c r="N156" s="10"/>
      <c r="O156" s="10"/>
      <c r="P156" s="10"/>
      <c r="Q156" s="10"/>
      <c r="R156" s="27" t="str">
        <f aca="false">IF(A156="","",ROUND((N156+O156+MIN(K156/40,5)+MIN(M156/5,5))/4,1))</f>
        <v/>
      </c>
      <c r="S156" s="27" t="str">
        <f aca="false">IF(A156="","",ROUND((P156+Q156)/2,1))</f>
        <v/>
      </c>
      <c r="T156" s="10"/>
      <c r="U156" s="10"/>
    </row>
    <row r="157" customFormat="false" ht="15" hidden="false" customHeight="false" outlineLevel="0" collapsed="false">
      <c r="A157" s="18"/>
      <c r="B157" s="10"/>
      <c r="C157" s="10"/>
      <c r="D157" s="10"/>
      <c r="E157" s="10"/>
      <c r="F157" s="10"/>
      <c r="G157" s="10"/>
      <c r="H157" s="10"/>
      <c r="I157" s="10"/>
      <c r="J157" s="10"/>
      <c r="K157" s="25"/>
      <c r="L157" s="26"/>
      <c r="M157" s="25"/>
      <c r="N157" s="10"/>
      <c r="O157" s="10"/>
      <c r="P157" s="10"/>
      <c r="Q157" s="10"/>
      <c r="R157" s="27" t="str">
        <f aca="false">IF(A157="","",ROUND((N157+O157+MIN(K157/40,5)+MIN(M157/5,5))/4,1))</f>
        <v/>
      </c>
      <c r="S157" s="27" t="str">
        <f aca="false">IF(A157="","",ROUND((P157+Q157)/2,1))</f>
        <v/>
      </c>
      <c r="T157" s="10"/>
      <c r="U157" s="10"/>
    </row>
    <row r="158" customFormat="false" ht="15" hidden="false" customHeight="false" outlineLevel="0" collapsed="false">
      <c r="A158" s="18"/>
      <c r="B158" s="10"/>
      <c r="C158" s="10"/>
      <c r="D158" s="10"/>
      <c r="E158" s="10"/>
      <c r="F158" s="10"/>
      <c r="G158" s="10"/>
      <c r="H158" s="10"/>
      <c r="I158" s="10"/>
      <c r="J158" s="10"/>
      <c r="K158" s="25"/>
      <c r="L158" s="26"/>
      <c r="M158" s="25"/>
      <c r="N158" s="10"/>
      <c r="O158" s="10"/>
      <c r="P158" s="10"/>
      <c r="Q158" s="10"/>
      <c r="R158" s="27" t="str">
        <f aca="false">IF(A158="","",ROUND((N158+O158+MIN(K158/40,5)+MIN(M158/5,5))/4,1))</f>
        <v/>
      </c>
      <c r="S158" s="27" t="str">
        <f aca="false">IF(A158="","",ROUND((P158+Q158)/2,1))</f>
        <v/>
      </c>
      <c r="T158" s="10"/>
      <c r="U158" s="10"/>
    </row>
    <row r="159" customFormat="false" ht="15" hidden="false" customHeight="false" outlineLevel="0" collapsed="false">
      <c r="A159" s="18"/>
      <c r="B159" s="10"/>
      <c r="C159" s="10"/>
      <c r="D159" s="10"/>
      <c r="E159" s="10"/>
      <c r="F159" s="10"/>
      <c r="G159" s="10"/>
      <c r="H159" s="10"/>
      <c r="I159" s="10"/>
      <c r="J159" s="10"/>
      <c r="K159" s="25"/>
      <c r="L159" s="26"/>
      <c r="M159" s="25"/>
      <c r="N159" s="10"/>
      <c r="O159" s="10"/>
      <c r="P159" s="10"/>
      <c r="Q159" s="10"/>
      <c r="R159" s="27" t="str">
        <f aca="false">IF(A159="","",ROUND((N159+O159+MIN(K159/40,5)+MIN(M159/5,5))/4,1))</f>
        <v/>
      </c>
      <c r="S159" s="27" t="str">
        <f aca="false">IF(A159="","",ROUND((P159+Q159)/2,1))</f>
        <v/>
      </c>
      <c r="T159" s="10"/>
      <c r="U159" s="10"/>
    </row>
    <row r="160" customFormat="false" ht="15" hidden="false" customHeight="false" outlineLevel="0" collapsed="false">
      <c r="A160" s="18"/>
      <c r="B160" s="10"/>
      <c r="C160" s="10"/>
      <c r="D160" s="10"/>
      <c r="E160" s="10"/>
      <c r="F160" s="10"/>
      <c r="G160" s="10"/>
      <c r="H160" s="10"/>
      <c r="I160" s="10"/>
      <c r="J160" s="10"/>
      <c r="K160" s="25"/>
      <c r="L160" s="26"/>
      <c r="M160" s="25"/>
      <c r="N160" s="10"/>
      <c r="O160" s="10"/>
      <c r="P160" s="10"/>
      <c r="Q160" s="10"/>
      <c r="R160" s="27" t="str">
        <f aca="false">IF(A160="","",ROUND((N160+O160+MIN(K160/40,5)+MIN(M160/5,5))/4,1))</f>
        <v/>
      </c>
      <c r="S160" s="27" t="str">
        <f aca="false">IF(A160="","",ROUND((P160+Q160)/2,1))</f>
        <v/>
      </c>
      <c r="T160" s="10"/>
      <c r="U160" s="10"/>
    </row>
    <row r="161" customFormat="false" ht="15" hidden="false" customHeight="false" outlineLevel="0" collapsed="false">
      <c r="A161" s="18"/>
      <c r="B161" s="10"/>
      <c r="C161" s="10"/>
      <c r="D161" s="10"/>
      <c r="E161" s="10"/>
      <c r="F161" s="10"/>
      <c r="G161" s="10"/>
      <c r="H161" s="10"/>
      <c r="I161" s="10"/>
      <c r="J161" s="10"/>
      <c r="K161" s="25"/>
      <c r="L161" s="26"/>
      <c r="M161" s="25"/>
      <c r="N161" s="10"/>
      <c r="O161" s="10"/>
      <c r="P161" s="10"/>
      <c r="Q161" s="10"/>
      <c r="R161" s="27" t="str">
        <f aca="false">IF(A161="","",ROUND((N161+O161+MIN(K161/40,5)+MIN(M161/5,5))/4,1))</f>
        <v/>
      </c>
      <c r="S161" s="27" t="str">
        <f aca="false">IF(A161="","",ROUND((P161+Q161)/2,1))</f>
        <v/>
      </c>
      <c r="T161" s="10"/>
      <c r="U161" s="10"/>
    </row>
    <row r="162" customFormat="false" ht="15" hidden="false" customHeight="false" outlineLevel="0" collapsed="false">
      <c r="A162" s="18"/>
      <c r="B162" s="10"/>
      <c r="C162" s="10"/>
      <c r="D162" s="10"/>
      <c r="E162" s="10"/>
      <c r="F162" s="10"/>
      <c r="G162" s="10"/>
      <c r="H162" s="10"/>
      <c r="I162" s="10"/>
      <c r="J162" s="10"/>
      <c r="K162" s="25"/>
      <c r="L162" s="26"/>
      <c r="M162" s="25"/>
      <c r="N162" s="10"/>
      <c r="O162" s="10"/>
      <c r="P162" s="10"/>
      <c r="Q162" s="10"/>
      <c r="R162" s="27" t="str">
        <f aca="false">IF(A162="","",ROUND((N162+O162+MIN(K162/40,5)+MIN(M162/5,5))/4,1))</f>
        <v/>
      </c>
      <c r="S162" s="27" t="str">
        <f aca="false">IF(A162="","",ROUND((P162+Q162)/2,1))</f>
        <v/>
      </c>
      <c r="T162" s="10"/>
      <c r="U162" s="10"/>
    </row>
    <row r="163" customFormat="false" ht="15" hidden="false" customHeight="false" outlineLevel="0" collapsed="false">
      <c r="A163" s="18"/>
      <c r="B163" s="10"/>
      <c r="C163" s="10"/>
      <c r="D163" s="10"/>
      <c r="E163" s="10"/>
      <c r="F163" s="10"/>
      <c r="G163" s="10"/>
      <c r="H163" s="10"/>
      <c r="I163" s="10"/>
      <c r="J163" s="10"/>
      <c r="K163" s="25"/>
      <c r="L163" s="26"/>
      <c r="M163" s="25"/>
      <c r="N163" s="10"/>
      <c r="O163" s="10"/>
      <c r="P163" s="10"/>
      <c r="Q163" s="10"/>
      <c r="R163" s="27" t="str">
        <f aca="false">IF(A163="","",ROUND((N163+O163+MIN(K163/40,5)+MIN(M163/5,5))/4,1))</f>
        <v/>
      </c>
      <c r="S163" s="27" t="str">
        <f aca="false">IF(A163="","",ROUND((P163+Q163)/2,1))</f>
        <v/>
      </c>
      <c r="T163" s="10"/>
      <c r="U163" s="10"/>
    </row>
    <row r="164" customFormat="false" ht="15" hidden="false" customHeight="false" outlineLevel="0" collapsed="false">
      <c r="A164" s="18"/>
      <c r="B164" s="10"/>
      <c r="C164" s="10"/>
      <c r="D164" s="10"/>
      <c r="E164" s="10"/>
      <c r="F164" s="10"/>
      <c r="G164" s="10"/>
      <c r="H164" s="10"/>
      <c r="I164" s="10"/>
      <c r="J164" s="10"/>
      <c r="K164" s="25"/>
      <c r="L164" s="26"/>
      <c r="M164" s="25"/>
      <c r="N164" s="10"/>
      <c r="O164" s="10"/>
      <c r="P164" s="10"/>
      <c r="Q164" s="10"/>
      <c r="R164" s="27" t="str">
        <f aca="false">IF(A164="","",ROUND((N164+O164+MIN(K164/40,5)+MIN(M164/5,5))/4,1))</f>
        <v/>
      </c>
      <c r="S164" s="27" t="str">
        <f aca="false">IF(A164="","",ROUND((P164+Q164)/2,1))</f>
        <v/>
      </c>
      <c r="T164" s="10"/>
      <c r="U164" s="10"/>
    </row>
    <row r="165" customFormat="false" ht="15" hidden="false" customHeight="false" outlineLevel="0" collapsed="false">
      <c r="A165" s="18"/>
      <c r="B165" s="10"/>
      <c r="C165" s="10"/>
      <c r="D165" s="10"/>
      <c r="E165" s="10"/>
      <c r="F165" s="10"/>
      <c r="G165" s="10"/>
      <c r="H165" s="10"/>
      <c r="I165" s="10"/>
      <c r="J165" s="10"/>
      <c r="K165" s="25"/>
      <c r="L165" s="26"/>
      <c r="M165" s="25"/>
      <c r="N165" s="10"/>
      <c r="O165" s="10"/>
      <c r="P165" s="10"/>
      <c r="Q165" s="10"/>
      <c r="R165" s="27" t="str">
        <f aca="false">IF(A165="","",ROUND((N165+O165+MIN(K165/40,5)+MIN(M165/5,5))/4,1))</f>
        <v/>
      </c>
      <c r="S165" s="27" t="str">
        <f aca="false">IF(A165="","",ROUND((P165+Q165)/2,1))</f>
        <v/>
      </c>
      <c r="T165" s="10"/>
      <c r="U165" s="10"/>
    </row>
    <row r="166" customFormat="false" ht="15" hidden="false" customHeight="false" outlineLevel="0" collapsed="false">
      <c r="A166" s="18"/>
      <c r="B166" s="10"/>
      <c r="C166" s="10"/>
      <c r="D166" s="10"/>
      <c r="E166" s="10"/>
      <c r="F166" s="10"/>
      <c r="G166" s="10"/>
      <c r="H166" s="10"/>
      <c r="I166" s="10"/>
      <c r="J166" s="10"/>
      <c r="K166" s="25"/>
      <c r="L166" s="26"/>
      <c r="M166" s="25"/>
      <c r="N166" s="10"/>
      <c r="O166" s="10"/>
      <c r="P166" s="10"/>
      <c r="Q166" s="10"/>
      <c r="R166" s="27" t="str">
        <f aca="false">IF(A166="","",ROUND((N166+O166+MIN(K166/40,5)+MIN(M166/5,5))/4,1))</f>
        <v/>
      </c>
      <c r="S166" s="27" t="str">
        <f aca="false">IF(A166="","",ROUND((P166+Q166)/2,1))</f>
        <v/>
      </c>
      <c r="T166" s="10"/>
      <c r="U166" s="10"/>
    </row>
    <row r="167" customFormat="false" ht="15" hidden="false" customHeight="false" outlineLevel="0" collapsed="false">
      <c r="A167" s="18"/>
      <c r="B167" s="10"/>
      <c r="C167" s="10"/>
      <c r="D167" s="10"/>
      <c r="E167" s="10"/>
      <c r="F167" s="10"/>
      <c r="G167" s="10"/>
      <c r="H167" s="10"/>
      <c r="I167" s="10"/>
      <c r="J167" s="10"/>
      <c r="K167" s="25"/>
      <c r="L167" s="26"/>
      <c r="M167" s="25"/>
      <c r="N167" s="10"/>
      <c r="O167" s="10"/>
      <c r="P167" s="10"/>
      <c r="Q167" s="10"/>
      <c r="R167" s="27" t="str">
        <f aca="false">IF(A167="","",ROUND((N167+O167+MIN(K167/40,5)+MIN(M167/5,5))/4,1))</f>
        <v/>
      </c>
      <c r="S167" s="27" t="str">
        <f aca="false">IF(A167="","",ROUND((P167+Q167)/2,1))</f>
        <v/>
      </c>
      <c r="T167" s="10"/>
      <c r="U167" s="10"/>
    </row>
    <row r="168" customFormat="false" ht="15" hidden="false" customHeight="false" outlineLevel="0" collapsed="false">
      <c r="A168" s="18"/>
      <c r="B168" s="10"/>
      <c r="C168" s="10"/>
      <c r="D168" s="10"/>
      <c r="E168" s="10"/>
      <c r="F168" s="10"/>
      <c r="G168" s="10"/>
      <c r="H168" s="10"/>
      <c r="I168" s="10"/>
      <c r="J168" s="10"/>
      <c r="K168" s="25"/>
      <c r="L168" s="26"/>
      <c r="M168" s="25"/>
      <c r="N168" s="10"/>
      <c r="O168" s="10"/>
      <c r="P168" s="10"/>
      <c r="Q168" s="10"/>
      <c r="R168" s="27" t="str">
        <f aca="false">IF(A168="","",ROUND((N168+O168+MIN(K168/40,5)+MIN(M168/5,5))/4,1))</f>
        <v/>
      </c>
      <c r="S168" s="27" t="str">
        <f aca="false">IF(A168="","",ROUND((P168+Q168)/2,1))</f>
        <v/>
      </c>
      <c r="T168" s="10"/>
      <c r="U168" s="10"/>
    </row>
    <row r="169" customFormat="false" ht="15" hidden="false" customHeight="false" outlineLevel="0" collapsed="false">
      <c r="A169" s="18"/>
      <c r="B169" s="10"/>
      <c r="C169" s="10"/>
      <c r="D169" s="10"/>
      <c r="E169" s="10"/>
      <c r="F169" s="10"/>
      <c r="G169" s="10"/>
      <c r="H169" s="10"/>
      <c r="I169" s="10"/>
      <c r="J169" s="10"/>
      <c r="K169" s="25"/>
      <c r="L169" s="26"/>
      <c r="M169" s="25"/>
      <c r="N169" s="10"/>
      <c r="O169" s="10"/>
      <c r="P169" s="10"/>
      <c r="Q169" s="10"/>
      <c r="R169" s="27" t="str">
        <f aca="false">IF(A169="","",ROUND((N169+O169+MIN(K169/40,5)+MIN(M169/5,5))/4,1))</f>
        <v/>
      </c>
      <c r="S169" s="27" t="str">
        <f aca="false">IF(A169="","",ROUND((P169+Q169)/2,1))</f>
        <v/>
      </c>
      <c r="T169" s="10"/>
      <c r="U169" s="10"/>
    </row>
    <row r="170" customFormat="false" ht="15" hidden="false" customHeight="false" outlineLevel="0" collapsed="false">
      <c r="A170" s="18"/>
      <c r="B170" s="10"/>
      <c r="C170" s="10"/>
      <c r="D170" s="10"/>
      <c r="E170" s="10"/>
      <c r="F170" s="10"/>
      <c r="G170" s="10"/>
      <c r="H170" s="10"/>
      <c r="I170" s="10"/>
      <c r="J170" s="10"/>
      <c r="K170" s="25"/>
      <c r="L170" s="26"/>
      <c r="M170" s="25"/>
      <c r="N170" s="10"/>
      <c r="O170" s="10"/>
      <c r="P170" s="10"/>
      <c r="Q170" s="10"/>
      <c r="R170" s="27" t="str">
        <f aca="false">IF(A170="","",ROUND((N170+O170+MIN(K170/40,5)+MIN(M170/5,5))/4,1))</f>
        <v/>
      </c>
      <c r="S170" s="27" t="str">
        <f aca="false">IF(A170="","",ROUND((P170+Q170)/2,1))</f>
        <v/>
      </c>
      <c r="T170" s="10"/>
      <c r="U170" s="10"/>
    </row>
    <row r="171" customFormat="false" ht="15" hidden="false" customHeight="false" outlineLevel="0" collapsed="false">
      <c r="A171" s="18"/>
      <c r="B171" s="10"/>
      <c r="C171" s="10"/>
      <c r="D171" s="10"/>
      <c r="E171" s="10"/>
      <c r="F171" s="10"/>
      <c r="G171" s="10"/>
      <c r="H171" s="10"/>
      <c r="I171" s="10"/>
      <c r="J171" s="10"/>
      <c r="K171" s="25"/>
      <c r="L171" s="26"/>
      <c r="M171" s="25"/>
      <c r="N171" s="10"/>
      <c r="O171" s="10"/>
      <c r="P171" s="10"/>
      <c r="Q171" s="10"/>
      <c r="R171" s="27" t="str">
        <f aca="false">IF(A171="","",ROUND((N171+O171+MIN(K171/40,5)+MIN(M171/5,5))/4,1))</f>
        <v/>
      </c>
      <c r="S171" s="27" t="str">
        <f aca="false">IF(A171="","",ROUND((P171+Q171)/2,1))</f>
        <v/>
      </c>
      <c r="T171" s="10"/>
      <c r="U171" s="10"/>
    </row>
    <row r="172" customFormat="false" ht="15" hidden="false" customHeight="false" outlineLevel="0" collapsed="false">
      <c r="A172" s="18"/>
      <c r="B172" s="10"/>
      <c r="C172" s="10"/>
      <c r="D172" s="10"/>
      <c r="E172" s="10"/>
      <c r="F172" s="10"/>
      <c r="G172" s="10"/>
      <c r="H172" s="10"/>
      <c r="I172" s="10"/>
      <c r="J172" s="10"/>
      <c r="K172" s="25"/>
      <c r="L172" s="26"/>
      <c r="M172" s="25"/>
      <c r="N172" s="10"/>
      <c r="O172" s="10"/>
      <c r="P172" s="10"/>
      <c r="Q172" s="10"/>
      <c r="R172" s="27" t="str">
        <f aca="false">IF(A172="","",ROUND((N172+O172+MIN(K172/40,5)+MIN(M172/5,5))/4,1))</f>
        <v/>
      </c>
      <c r="S172" s="27" t="str">
        <f aca="false">IF(A172="","",ROUND((P172+Q172)/2,1))</f>
        <v/>
      </c>
      <c r="T172" s="10"/>
      <c r="U172" s="10"/>
    </row>
    <row r="173" customFormat="false" ht="15" hidden="false" customHeight="false" outlineLevel="0" collapsed="false">
      <c r="A173" s="18"/>
      <c r="B173" s="10"/>
      <c r="C173" s="10"/>
      <c r="D173" s="10"/>
      <c r="E173" s="10"/>
      <c r="F173" s="10"/>
      <c r="G173" s="10"/>
      <c r="H173" s="10"/>
      <c r="I173" s="10"/>
      <c r="J173" s="10"/>
      <c r="K173" s="25"/>
      <c r="L173" s="26"/>
      <c r="M173" s="25"/>
      <c r="N173" s="10"/>
      <c r="O173" s="10"/>
      <c r="P173" s="10"/>
      <c r="Q173" s="10"/>
      <c r="R173" s="27" t="str">
        <f aca="false">IF(A173="","",ROUND((N173+O173+MIN(K173/40,5)+MIN(M173/5,5))/4,1))</f>
        <v/>
      </c>
      <c r="S173" s="27" t="str">
        <f aca="false">IF(A173="","",ROUND((P173+Q173)/2,1))</f>
        <v/>
      </c>
      <c r="T173" s="10"/>
      <c r="U173" s="10"/>
    </row>
    <row r="174" customFormat="false" ht="15" hidden="false" customHeight="false" outlineLevel="0" collapsed="false">
      <c r="A174" s="18"/>
      <c r="B174" s="10"/>
      <c r="C174" s="10"/>
      <c r="D174" s="10"/>
      <c r="E174" s="10"/>
      <c r="F174" s="10"/>
      <c r="G174" s="10"/>
      <c r="H174" s="10"/>
      <c r="I174" s="10"/>
      <c r="J174" s="10"/>
      <c r="K174" s="25"/>
      <c r="L174" s="26"/>
      <c r="M174" s="25"/>
      <c r="N174" s="10"/>
      <c r="O174" s="10"/>
      <c r="P174" s="10"/>
      <c r="Q174" s="10"/>
      <c r="R174" s="27" t="str">
        <f aca="false">IF(A174="","",ROUND((N174+O174+MIN(K174/40,5)+MIN(M174/5,5))/4,1))</f>
        <v/>
      </c>
      <c r="S174" s="27" t="str">
        <f aca="false">IF(A174="","",ROUND((P174+Q174)/2,1))</f>
        <v/>
      </c>
      <c r="T174" s="10"/>
      <c r="U174" s="10"/>
    </row>
    <row r="175" customFormat="false" ht="15" hidden="false" customHeight="false" outlineLevel="0" collapsed="false">
      <c r="A175" s="18"/>
      <c r="B175" s="10"/>
      <c r="C175" s="10"/>
      <c r="D175" s="10"/>
      <c r="E175" s="10"/>
      <c r="F175" s="10"/>
      <c r="G175" s="10"/>
      <c r="H175" s="10"/>
      <c r="I175" s="10"/>
      <c r="J175" s="10"/>
      <c r="K175" s="25"/>
      <c r="L175" s="26"/>
      <c r="M175" s="25"/>
      <c r="N175" s="10"/>
      <c r="O175" s="10"/>
      <c r="P175" s="10"/>
      <c r="Q175" s="10"/>
      <c r="R175" s="27" t="str">
        <f aca="false">IF(A175="","",ROUND((N175+O175+MIN(K175/40,5)+MIN(M175/5,5))/4,1))</f>
        <v/>
      </c>
      <c r="S175" s="27" t="str">
        <f aca="false">IF(A175="","",ROUND((P175+Q175)/2,1))</f>
        <v/>
      </c>
      <c r="T175" s="10"/>
      <c r="U175" s="10"/>
    </row>
    <row r="176" customFormat="false" ht="15" hidden="false" customHeight="false" outlineLevel="0" collapsed="false">
      <c r="A176" s="18"/>
      <c r="B176" s="10"/>
      <c r="C176" s="10"/>
      <c r="D176" s="10"/>
      <c r="E176" s="10"/>
      <c r="F176" s="10"/>
      <c r="G176" s="10"/>
      <c r="H176" s="10"/>
      <c r="I176" s="10"/>
      <c r="J176" s="10"/>
      <c r="K176" s="25"/>
      <c r="L176" s="26"/>
      <c r="M176" s="25"/>
      <c r="N176" s="10"/>
      <c r="O176" s="10"/>
      <c r="P176" s="10"/>
      <c r="Q176" s="10"/>
      <c r="R176" s="27" t="str">
        <f aca="false">IF(A176="","",ROUND((N176+O176+MIN(K176/40,5)+MIN(M176/5,5))/4,1))</f>
        <v/>
      </c>
      <c r="S176" s="27" t="str">
        <f aca="false">IF(A176="","",ROUND((P176+Q176)/2,1))</f>
        <v/>
      </c>
      <c r="T176" s="10"/>
      <c r="U176" s="10"/>
    </row>
    <row r="177" customFormat="false" ht="15" hidden="false" customHeight="false" outlineLevel="0" collapsed="false">
      <c r="A177" s="18"/>
      <c r="B177" s="10"/>
      <c r="C177" s="10"/>
      <c r="D177" s="10"/>
      <c r="E177" s="10"/>
      <c r="F177" s="10"/>
      <c r="G177" s="10"/>
      <c r="H177" s="10"/>
      <c r="I177" s="10"/>
      <c r="J177" s="10"/>
      <c r="K177" s="25"/>
      <c r="L177" s="26"/>
      <c r="M177" s="25"/>
      <c r="N177" s="10"/>
      <c r="O177" s="10"/>
      <c r="P177" s="10"/>
      <c r="Q177" s="10"/>
      <c r="R177" s="27" t="str">
        <f aca="false">IF(A177="","",ROUND((N177+O177+MIN(K177/40,5)+MIN(M177/5,5))/4,1))</f>
        <v/>
      </c>
      <c r="S177" s="27" t="str">
        <f aca="false">IF(A177="","",ROUND((P177+Q177)/2,1))</f>
        <v/>
      </c>
      <c r="T177" s="10"/>
      <c r="U177" s="10"/>
    </row>
    <row r="178" customFormat="false" ht="15" hidden="false" customHeight="false" outlineLevel="0" collapsed="false">
      <c r="A178" s="18"/>
      <c r="B178" s="10"/>
      <c r="C178" s="10"/>
      <c r="D178" s="10"/>
      <c r="E178" s="10"/>
      <c r="F178" s="10"/>
      <c r="G178" s="10"/>
      <c r="H178" s="10"/>
      <c r="I178" s="10"/>
      <c r="J178" s="10"/>
      <c r="K178" s="25"/>
      <c r="L178" s="26"/>
      <c r="M178" s="25"/>
      <c r="N178" s="10"/>
      <c r="O178" s="10"/>
      <c r="P178" s="10"/>
      <c r="Q178" s="10"/>
      <c r="R178" s="27" t="str">
        <f aca="false">IF(A178="","",ROUND((N178+O178+MIN(K178/40,5)+MIN(M178/5,5))/4,1))</f>
        <v/>
      </c>
      <c r="S178" s="27" t="str">
        <f aca="false">IF(A178="","",ROUND((P178+Q178)/2,1))</f>
        <v/>
      </c>
      <c r="T178" s="10"/>
      <c r="U178" s="10"/>
    </row>
    <row r="179" customFormat="false" ht="15" hidden="false" customHeight="false" outlineLevel="0" collapsed="false">
      <c r="A179" s="18"/>
      <c r="B179" s="10"/>
      <c r="C179" s="10"/>
      <c r="D179" s="10"/>
      <c r="E179" s="10"/>
      <c r="F179" s="10"/>
      <c r="G179" s="10"/>
      <c r="H179" s="10"/>
      <c r="I179" s="10"/>
      <c r="J179" s="10"/>
      <c r="K179" s="25"/>
      <c r="L179" s="26"/>
      <c r="M179" s="25"/>
      <c r="N179" s="10"/>
      <c r="O179" s="10"/>
      <c r="P179" s="10"/>
      <c r="Q179" s="10"/>
      <c r="R179" s="27" t="str">
        <f aca="false">IF(A179="","",ROUND((N179+O179+MIN(K179/40,5)+MIN(M179/5,5))/4,1))</f>
        <v/>
      </c>
      <c r="S179" s="27" t="str">
        <f aca="false">IF(A179="","",ROUND((P179+Q179)/2,1))</f>
        <v/>
      </c>
      <c r="T179" s="10"/>
      <c r="U179" s="10"/>
    </row>
    <row r="180" customFormat="false" ht="15" hidden="false" customHeight="false" outlineLevel="0" collapsed="false">
      <c r="A180" s="18"/>
      <c r="B180" s="10"/>
      <c r="C180" s="10"/>
      <c r="D180" s="10"/>
      <c r="E180" s="10"/>
      <c r="F180" s="10"/>
      <c r="G180" s="10"/>
      <c r="H180" s="10"/>
      <c r="I180" s="10"/>
      <c r="J180" s="10"/>
      <c r="K180" s="25"/>
      <c r="L180" s="26"/>
      <c r="M180" s="25"/>
      <c r="N180" s="10"/>
      <c r="O180" s="10"/>
      <c r="P180" s="10"/>
      <c r="Q180" s="10"/>
      <c r="R180" s="27" t="str">
        <f aca="false">IF(A180="","",ROUND((N180+O180+MIN(K180/40,5)+MIN(M180/5,5))/4,1))</f>
        <v/>
      </c>
      <c r="S180" s="27" t="str">
        <f aca="false">IF(A180="","",ROUND((P180+Q180)/2,1))</f>
        <v/>
      </c>
      <c r="T180" s="10"/>
      <c r="U180" s="10"/>
    </row>
    <row r="181" customFormat="false" ht="15" hidden="false" customHeight="false" outlineLevel="0" collapsed="false">
      <c r="A181" s="18"/>
      <c r="B181" s="10"/>
      <c r="C181" s="10"/>
      <c r="D181" s="10"/>
      <c r="E181" s="10"/>
      <c r="F181" s="10"/>
      <c r="G181" s="10"/>
      <c r="H181" s="10"/>
      <c r="I181" s="10"/>
      <c r="J181" s="10"/>
      <c r="K181" s="25"/>
      <c r="L181" s="26"/>
      <c r="M181" s="25"/>
      <c r="N181" s="10"/>
      <c r="O181" s="10"/>
      <c r="P181" s="10"/>
      <c r="Q181" s="10"/>
      <c r="R181" s="27" t="str">
        <f aca="false">IF(A181="","",ROUND((N181+O181+MIN(K181/40,5)+MIN(M181/5,5))/4,1))</f>
        <v/>
      </c>
      <c r="S181" s="27" t="str">
        <f aca="false">IF(A181="","",ROUND((P181+Q181)/2,1))</f>
        <v/>
      </c>
      <c r="T181" s="10"/>
      <c r="U181" s="10"/>
    </row>
    <row r="182" customFormat="false" ht="15" hidden="false" customHeight="false" outlineLevel="0" collapsed="false">
      <c r="A182" s="18"/>
      <c r="B182" s="10"/>
      <c r="C182" s="10"/>
      <c r="D182" s="10"/>
      <c r="E182" s="10"/>
      <c r="F182" s="10"/>
      <c r="G182" s="10"/>
      <c r="H182" s="10"/>
      <c r="I182" s="10"/>
      <c r="J182" s="10"/>
      <c r="K182" s="25"/>
      <c r="L182" s="26"/>
      <c r="M182" s="25"/>
      <c r="N182" s="10"/>
      <c r="O182" s="10"/>
      <c r="P182" s="10"/>
      <c r="Q182" s="10"/>
      <c r="R182" s="27" t="str">
        <f aca="false">IF(A182="","",ROUND((N182+O182+MIN(K182/40,5)+MIN(M182/5,5))/4,1))</f>
        <v/>
      </c>
      <c r="S182" s="27" t="str">
        <f aca="false">IF(A182="","",ROUND((P182+Q182)/2,1))</f>
        <v/>
      </c>
      <c r="T182" s="10"/>
      <c r="U182" s="10"/>
    </row>
    <row r="183" customFormat="false" ht="15" hidden="false" customHeight="false" outlineLevel="0" collapsed="false">
      <c r="A183" s="18"/>
      <c r="B183" s="10"/>
      <c r="C183" s="10"/>
      <c r="D183" s="10"/>
      <c r="E183" s="10"/>
      <c r="F183" s="10"/>
      <c r="G183" s="10"/>
      <c r="H183" s="10"/>
      <c r="I183" s="10"/>
      <c r="J183" s="10"/>
      <c r="K183" s="25"/>
      <c r="L183" s="26"/>
      <c r="M183" s="25"/>
      <c r="N183" s="10"/>
      <c r="O183" s="10"/>
      <c r="P183" s="10"/>
      <c r="Q183" s="10"/>
      <c r="R183" s="27" t="str">
        <f aca="false">IF(A183="","",ROUND((N183+O183+MIN(K183/40,5)+MIN(M183/5,5))/4,1))</f>
        <v/>
      </c>
      <c r="S183" s="27" t="str">
        <f aca="false">IF(A183="","",ROUND((P183+Q183)/2,1))</f>
        <v/>
      </c>
      <c r="T183" s="10"/>
      <c r="U183" s="10"/>
    </row>
    <row r="184" customFormat="false" ht="15" hidden="false" customHeight="false" outlineLevel="0" collapsed="false">
      <c r="A184" s="18"/>
      <c r="B184" s="10"/>
      <c r="C184" s="10"/>
      <c r="D184" s="10"/>
      <c r="E184" s="10"/>
      <c r="F184" s="10"/>
      <c r="G184" s="10"/>
      <c r="H184" s="10"/>
      <c r="I184" s="10"/>
      <c r="J184" s="10"/>
      <c r="K184" s="25"/>
      <c r="L184" s="26"/>
      <c r="M184" s="25"/>
      <c r="N184" s="10"/>
      <c r="O184" s="10"/>
      <c r="P184" s="10"/>
      <c r="Q184" s="10"/>
      <c r="R184" s="27" t="str">
        <f aca="false">IF(A184="","",ROUND((N184+O184+MIN(K184/40,5)+MIN(M184/5,5))/4,1))</f>
        <v/>
      </c>
      <c r="S184" s="27" t="str">
        <f aca="false">IF(A184="","",ROUND((P184+Q184)/2,1))</f>
        <v/>
      </c>
      <c r="T184" s="10"/>
      <c r="U184" s="10"/>
    </row>
    <row r="185" customFormat="false" ht="15" hidden="false" customHeight="false" outlineLevel="0" collapsed="false">
      <c r="A185" s="18"/>
      <c r="B185" s="10"/>
      <c r="C185" s="10"/>
      <c r="D185" s="10"/>
      <c r="E185" s="10"/>
      <c r="F185" s="10"/>
      <c r="G185" s="10"/>
      <c r="H185" s="10"/>
      <c r="I185" s="10"/>
      <c r="J185" s="10"/>
      <c r="K185" s="25"/>
      <c r="L185" s="26"/>
      <c r="M185" s="25"/>
      <c r="N185" s="10"/>
      <c r="O185" s="10"/>
      <c r="P185" s="10"/>
      <c r="Q185" s="10"/>
      <c r="R185" s="27" t="str">
        <f aca="false">IF(A185="","",ROUND((N185+O185+MIN(K185/40,5)+MIN(M185/5,5))/4,1))</f>
        <v/>
      </c>
      <c r="S185" s="27" t="str">
        <f aca="false">IF(A185="","",ROUND((P185+Q185)/2,1))</f>
        <v/>
      </c>
      <c r="T185" s="10"/>
      <c r="U185" s="10"/>
    </row>
    <row r="186" customFormat="false" ht="15" hidden="false" customHeight="false" outlineLevel="0" collapsed="false">
      <c r="A186" s="18"/>
      <c r="B186" s="10"/>
      <c r="C186" s="10"/>
      <c r="D186" s="10"/>
      <c r="E186" s="10"/>
      <c r="F186" s="10"/>
      <c r="G186" s="10"/>
      <c r="H186" s="10"/>
      <c r="I186" s="10"/>
      <c r="J186" s="10"/>
      <c r="K186" s="25"/>
      <c r="L186" s="26"/>
      <c r="M186" s="25"/>
      <c r="N186" s="10"/>
      <c r="O186" s="10"/>
      <c r="P186" s="10"/>
      <c r="Q186" s="10"/>
      <c r="R186" s="27" t="str">
        <f aca="false">IF(A186="","",ROUND((N186+O186+MIN(K186/40,5)+MIN(M186/5,5))/4,1))</f>
        <v/>
      </c>
      <c r="S186" s="27" t="str">
        <f aca="false">IF(A186="","",ROUND((P186+Q186)/2,1))</f>
        <v/>
      </c>
      <c r="T186" s="10"/>
      <c r="U186" s="10"/>
    </row>
    <row r="187" customFormat="false" ht="15" hidden="false" customHeight="false" outlineLevel="0" collapsed="false">
      <c r="A187" s="18"/>
      <c r="B187" s="10"/>
      <c r="C187" s="10"/>
      <c r="D187" s="10"/>
      <c r="E187" s="10"/>
      <c r="F187" s="10"/>
      <c r="G187" s="10"/>
      <c r="H187" s="10"/>
      <c r="I187" s="10"/>
      <c r="J187" s="10"/>
      <c r="K187" s="25"/>
      <c r="L187" s="26"/>
      <c r="M187" s="25"/>
      <c r="N187" s="10"/>
      <c r="O187" s="10"/>
      <c r="P187" s="10"/>
      <c r="Q187" s="10"/>
      <c r="R187" s="27" t="str">
        <f aca="false">IF(A187="","",ROUND((N187+O187+MIN(K187/40,5)+MIN(M187/5,5))/4,1))</f>
        <v/>
      </c>
      <c r="S187" s="27" t="str">
        <f aca="false">IF(A187="","",ROUND((P187+Q187)/2,1))</f>
        <v/>
      </c>
      <c r="T187" s="10"/>
      <c r="U187" s="10"/>
    </row>
    <row r="188" customFormat="false" ht="15" hidden="false" customHeight="false" outlineLevel="0" collapsed="false">
      <c r="A188" s="18"/>
      <c r="B188" s="10"/>
      <c r="C188" s="10"/>
      <c r="D188" s="10"/>
      <c r="E188" s="10"/>
      <c r="F188" s="10"/>
      <c r="G188" s="10"/>
      <c r="H188" s="10"/>
      <c r="I188" s="10"/>
      <c r="J188" s="10"/>
      <c r="K188" s="25"/>
      <c r="L188" s="26"/>
      <c r="M188" s="25"/>
      <c r="N188" s="10"/>
      <c r="O188" s="10"/>
      <c r="P188" s="10"/>
      <c r="Q188" s="10"/>
      <c r="R188" s="27" t="str">
        <f aca="false">IF(A188="","",ROUND((N188+O188+MIN(K188/40,5)+MIN(M188/5,5))/4,1))</f>
        <v/>
      </c>
      <c r="S188" s="27" t="str">
        <f aca="false">IF(A188="","",ROUND((P188+Q188)/2,1))</f>
        <v/>
      </c>
      <c r="T188" s="10"/>
      <c r="U188" s="10"/>
    </row>
    <row r="189" customFormat="false" ht="15" hidden="false" customHeight="false" outlineLevel="0" collapsed="false">
      <c r="A189" s="18"/>
      <c r="B189" s="10"/>
      <c r="C189" s="10"/>
      <c r="D189" s="10"/>
      <c r="E189" s="10"/>
      <c r="F189" s="10"/>
      <c r="G189" s="10"/>
      <c r="H189" s="10"/>
      <c r="I189" s="10"/>
      <c r="J189" s="10"/>
      <c r="K189" s="25"/>
      <c r="L189" s="26"/>
      <c r="M189" s="25"/>
      <c r="N189" s="10"/>
      <c r="O189" s="10"/>
      <c r="P189" s="10"/>
      <c r="Q189" s="10"/>
      <c r="R189" s="27" t="str">
        <f aca="false">IF(A189="","",ROUND((N189+O189+MIN(K189/40,5)+MIN(M189/5,5))/4,1))</f>
        <v/>
      </c>
      <c r="S189" s="27" t="str">
        <f aca="false">IF(A189="","",ROUND((P189+Q189)/2,1))</f>
        <v/>
      </c>
      <c r="T189" s="10"/>
      <c r="U189" s="10"/>
    </row>
    <row r="190" customFormat="false" ht="15" hidden="false" customHeight="false" outlineLevel="0" collapsed="false">
      <c r="A190" s="18"/>
      <c r="B190" s="10"/>
      <c r="C190" s="10"/>
      <c r="D190" s="10"/>
      <c r="E190" s="10"/>
      <c r="F190" s="10"/>
      <c r="G190" s="10"/>
      <c r="H190" s="10"/>
      <c r="I190" s="10"/>
      <c r="J190" s="10"/>
      <c r="K190" s="25"/>
      <c r="L190" s="26"/>
      <c r="M190" s="25"/>
      <c r="N190" s="10"/>
      <c r="O190" s="10"/>
      <c r="P190" s="10"/>
      <c r="Q190" s="10"/>
      <c r="R190" s="27" t="str">
        <f aca="false">IF(A190="","",ROUND((N190+O190+MIN(K190/40,5)+MIN(M190/5,5))/4,1))</f>
        <v/>
      </c>
      <c r="S190" s="27" t="str">
        <f aca="false">IF(A190="","",ROUND((P190+Q190)/2,1))</f>
        <v/>
      </c>
      <c r="T190" s="10"/>
      <c r="U190" s="10"/>
    </row>
    <row r="191" customFormat="false" ht="15" hidden="false" customHeight="false" outlineLevel="0" collapsed="false">
      <c r="A191" s="18"/>
      <c r="B191" s="10"/>
      <c r="C191" s="10"/>
      <c r="D191" s="10"/>
      <c r="E191" s="10"/>
      <c r="F191" s="10"/>
      <c r="G191" s="10"/>
      <c r="H191" s="10"/>
      <c r="I191" s="10"/>
      <c r="J191" s="10"/>
      <c r="K191" s="25"/>
      <c r="L191" s="26"/>
      <c r="M191" s="25"/>
      <c r="N191" s="10"/>
      <c r="O191" s="10"/>
      <c r="P191" s="10"/>
      <c r="Q191" s="10"/>
      <c r="R191" s="27" t="str">
        <f aca="false">IF(A191="","",ROUND((N191+O191+MIN(K191/40,5)+MIN(M191/5,5))/4,1))</f>
        <v/>
      </c>
      <c r="S191" s="27" t="str">
        <f aca="false">IF(A191="","",ROUND((P191+Q191)/2,1))</f>
        <v/>
      </c>
      <c r="T191" s="10"/>
      <c r="U191" s="10"/>
    </row>
    <row r="192" customFormat="false" ht="15" hidden="false" customHeight="false" outlineLevel="0" collapsed="false">
      <c r="A192" s="18"/>
      <c r="B192" s="10"/>
      <c r="C192" s="10"/>
      <c r="D192" s="10"/>
      <c r="E192" s="10"/>
      <c r="F192" s="10"/>
      <c r="G192" s="10"/>
      <c r="H192" s="10"/>
      <c r="I192" s="10"/>
      <c r="J192" s="10"/>
      <c r="K192" s="25"/>
      <c r="L192" s="26"/>
      <c r="M192" s="25"/>
      <c r="N192" s="10"/>
      <c r="O192" s="10"/>
      <c r="P192" s="10"/>
      <c r="Q192" s="10"/>
      <c r="R192" s="27" t="str">
        <f aca="false">IF(A192="","",ROUND((N192+O192+MIN(K192/40,5)+MIN(M192/5,5))/4,1))</f>
        <v/>
      </c>
      <c r="S192" s="27" t="str">
        <f aca="false">IF(A192="","",ROUND((P192+Q192)/2,1))</f>
        <v/>
      </c>
      <c r="T192" s="10"/>
      <c r="U192" s="10"/>
    </row>
    <row r="193" customFormat="false" ht="15" hidden="false" customHeight="false" outlineLevel="0" collapsed="false">
      <c r="A193" s="18"/>
      <c r="B193" s="10"/>
      <c r="C193" s="10"/>
      <c r="D193" s="10"/>
      <c r="E193" s="10"/>
      <c r="F193" s="10"/>
      <c r="G193" s="10"/>
      <c r="H193" s="10"/>
      <c r="I193" s="10"/>
      <c r="J193" s="10"/>
      <c r="K193" s="25"/>
      <c r="L193" s="26"/>
      <c r="M193" s="25"/>
      <c r="N193" s="10"/>
      <c r="O193" s="10"/>
      <c r="P193" s="10"/>
      <c r="Q193" s="10"/>
      <c r="R193" s="27" t="str">
        <f aca="false">IF(A193="","",ROUND((N193+O193+MIN(K193/40,5)+MIN(M193/5,5))/4,1))</f>
        <v/>
      </c>
      <c r="S193" s="27" t="str">
        <f aca="false">IF(A193="","",ROUND((P193+Q193)/2,1))</f>
        <v/>
      </c>
      <c r="T193" s="10"/>
      <c r="U193" s="10"/>
    </row>
    <row r="194" customFormat="false" ht="15" hidden="false" customHeight="false" outlineLevel="0" collapsed="false">
      <c r="A194" s="18"/>
      <c r="B194" s="10"/>
      <c r="C194" s="10"/>
      <c r="D194" s="10"/>
      <c r="E194" s="10"/>
      <c r="F194" s="10"/>
      <c r="G194" s="10"/>
      <c r="H194" s="10"/>
      <c r="I194" s="10"/>
      <c r="J194" s="10"/>
      <c r="K194" s="25"/>
      <c r="L194" s="26"/>
      <c r="M194" s="25"/>
      <c r="N194" s="10"/>
      <c r="O194" s="10"/>
      <c r="P194" s="10"/>
      <c r="Q194" s="10"/>
      <c r="R194" s="27" t="str">
        <f aca="false">IF(A194="","",ROUND((N194+O194+MIN(K194/40,5)+MIN(M194/5,5))/4,1))</f>
        <v/>
      </c>
      <c r="S194" s="27" t="str">
        <f aca="false">IF(A194="","",ROUND((P194+Q194)/2,1))</f>
        <v/>
      </c>
      <c r="T194" s="10"/>
      <c r="U194" s="10"/>
    </row>
    <row r="195" customFormat="false" ht="15" hidden="false" customHeight="false" outlineLevel="0" collapsed="false">
      <c r="A195" s="18"/>
      <c r="B195" s="10"/>
      <c r="C195" s="10"/>
      <c r="D195" s="10"/>
      <c r="E195" s="10"/>
      <c r="F195" s="10"/>
      <c r="G195" s="10"/>
      <c r="H195" s="10"/>
      <c r="I195" s="10"/>
      <c r="J195" s="10"/>
      <c r="K195" s="25"/>
      <c r="L195" s="26"/>
      <c r="M195" s="25"/>
      <c r="N195" s="10"/>
      <c r="O195" s="10"/>
      <c r="P195" s="10"/>
      <c r="Q195" s="10"/>
      <c r="R195" s="27" t="str">
        <f aca="false">IF(A195="","",ROUND((N195+O195+MIN(K195/40,5)+MIN(M195/5,5))/4,1))</f>
        <v/>
      </c>
      <c r="S195" s="27" t="str">
        <f aca="false">IF(A195="","",ROUND((P195+Q195)/2,1))</f>
        <v/>
      </c>
      <c r="T195" s="10"/>
      <c r="U195" s="10"/>
    </row>
    <row r="196" customFormat="false" ht="15" hidden="false" customHeight="false" outlineLevel="0" collapsed="false">
      <c r="A196" s="18"/>
      <c r="B196" s="10"/>
      <c r="C196" s="10"/>
      <c r="D196" s="10"/>
      <c r="E196" s="10"/>
      <c r="F196" s="10"/>
      <c r="G196" s="10"/>
      <c r="H196" s="10"/>
      <c r="I196" s="10"/>
      <c r="J196" s="10"/>
      <c r="K196" s="25"/>
      <c r="L196" s="26"/>
      <c r="M196" s="25"/>
      <c r="N196" s="10"/>
      <c r="O196" s="10"/>
      <c r="P196" s="10"/>
      <c r="Q196" s="10"/>
      <c r="R196" s="27" t="str">
        <f aca="false">IF(A196="","",ROUND((N196+O196+MIN(K196/40,5)+MIN(M196/5,5))/4,1))</f>
        <v/>
      </c>
      <c r="S196" s="27" t="str">
        <f aca="false">IF(A196="","",ROUND((P196+Q196)/2,1))</f>
        <v/>
      </c>
      <c r="T196" s="10"/>
      <c r="U196" s="10"/>
    </row>
    <row r="197" customFormat="false" ht="15" hidden="false" customHeight="false" outlineLevel="0" collapsed="false">
      <c r="A197" s="18"/>
      <c r="B197" s="10"/>
      <c r="C197" s="10"/>
      <c r="D197" s="10"/>
      <c r="E197" s="10"/>
      <c r="F197" s="10"/>
      <c r="G197" s="10"/>
      <c r="H197" s="10"/>
      <c r="I197" s="10"/>
      <c r="J197" s="10"/>
      <c r="K197" s="25"/>
      <c r="L197" s="26"/>
      <c r="M197" s="25"/>
      <c r="N197" s="10"/>
      <c r="O197" s="10"/>
      <c r="P197" s="10"/>
      <c r="Q197" s="10"/>
      <c r="R197" s="27" t="str">
        <f aca="false">IF(A197="","",ROUND((N197+O197+MIN(K197/40,5)+MIN(M197/5,5))/4,1))</f>
        <v/>
      </c>
      <c r="S197" s="27" t="str">
        <f aca="false">IF(A197="","",ROUND((P197+Q197)/2,1))</f>
        <v/>
      </c>
      <c r="T197" s="10"/>
      <c r="U197" s="10"/>
    </row>
    <row r="198" customFormat="false" ht="15" hidden="false" customHeight="false" outlineLevel="0" collapsed="false">
      <c r="A198" s="18"/>
      <c r="B198" s="10"/>
      <c r="C198" s="10"/>
      <c r="D198" s="10"/>
      <c r="E198" s="10"/>
      <c r="F198" s="10"/>
      <c r="G198" s="10"/>
      <c r="H198" s="10"/>
      <c r="I198" s="10"/>
      <c r="J198" s="10"/>
      <c r="K198" s="25"/>
      <c r="L198" s="26"/>
      <c r="M198" s="25"/>
      <c r="N198" s="10"/>
      <c r="O198" s="10"/>
      <c r="P198" s="10"/>
      <c r="Q198" s="10"/>
      <c r="R198" s="27" t="str">
        <f aca="false">IF(A198="","",ROUND((N198+O198+MIN(K198/40,5)+MIN(M198/5,5))/4,1))</f>
        <v/>
      </c>
      <c r="S198" s="27" t="str">
        <f aca="false">IF(A198="","",ROUND((P198+Q198)/2,1))</f>
        <v/>
      </c>
      <c r="T198" s="10"/>
      <c r="U198" s="10"/>
    </row>
    <row r="199" customFormat="false" ht="15" hidden="false" customHeight="false" outlineLevel="0" collapsed="false">
      <c r="A199" s="18"/>
      <c r="B199" s="10"/>
      <c r="C199" s="10"/>
      <c r="D199" s="10"/>
      <c r="E199" s="10"/>
      <c r="F199" s="10"/>
      <c r="G199" s="10"/>
      <c r="H199" s="10"/>
      <c r="I199" s="10"/>
      <c r="J199" s="10"/>
      <c r="K199" s="25"/>
      <c r="L199" s="26"/>
      <c r="M199" s="25"/>
      <c r="N199" s="10"/>
      <c r="O199" s="10"/>
      <c r="P199" s="10"/>
      <c r="Q199" s="10"/>
      <c r="R199" s="27" t="str">
        <f aca="false">IF(A199="","",ROUND((N199+O199+MIN(K199/40,5)+MIN(M199/5,5))/4,1))</f>
        <v/>
      </c>
      <c r="S199" s="27" t="str">
        <f aca="false">IF(A199="","",ROUND((P199+Q199)/2,1))</f>
        <v/>
      </c>
      <c r="T199" s="10"/>
      <c r="U199" s="10"/>
    </row>
    <row r="200" customFormat="false" ht="15" hidden="false" customHeight="false" outlineLevel="0" collapsed="false">
      <c r="A200" s="18"/>
      <c r="B200" s="10"/>
      <c r="C200" s="10"/>
      <c r="D200" s="10"/>
      <c r="E200" s="10"/>
      <c r="F200" s="10"/>
      <c r="G200" s="10"/>
      <c r="H200" s="10"/>
      <c r="I200" s="10"/>
      <c r="J200" s="10"/>
      <c r="K200" s="25"/>
      <c r="L200" s="26"/>
      <c r="M200" s="25"/>
      <c r="N200" s="10"/>
      <c r="O200" s="10"/>
      <c r="P200" s="10"/>
      <c r="Q200" s="10"/>
      <c r="R200" s="27" t="str">
        <f aca="false">IF(A200="","",ROUND((N200+O200+MIN(K200/40,5)+MIN(M200/5,5))/4,1))</f>
        <v/>
      </c>
      <c r="S200" s="27" t="str">
        <f aca="false">IF(A200="","",ROUND((P200+Q200)/2,1))</f>
        <v/>
      </c>
      <c r="T200" s="10"/>
      <c r="U200" s="10"/>
    </row>
    <row r="201" customFormat="false" ht="15" hidden="false" customHeight="false" outlineLevel="0" collapsed="false">
      <c r="A201" s="18"/>
      <c r="B201" s="10"/>
      <c r="C201" s="10"/>
      <c r="D201" s="10"/>
      <c r="E201" s="10"/>
      <c r="F201" s="10"/>
      <c r="G201" s="10"/>
      <c r="H201" s="10"/>
      <c r="I201" s="10"/>
      <c r="J201" s="10"/>
      <c r="K201" s="25"/>
      <c r="L201" s="26"/>
      <c r="M201" s="25"/>
      <c r="N201" s="10"/>
      <c r="O201" s="10"/>
      <c r="P201" s="10"/>
      <c r="Q201" s="10"/>
      <c r="R201" s="27" t="str">
        <f aca="false">IF(A201="","",ROUND((N201+O201+MIN(K201/40,5)+MIN(M201/5,5))/4,1))</f>
        <v/>
      </c>
      <c r="S201" s="27" t="str">
        <f aca="false">IF(A201="","",ROUND((P201+Q201)/2,1))</f>
        <v/>
      </c>
      <c r="T201" s="10"/>
      <c r="U201" s="10"/>
    </row>
    <row r="202" customFormat="false" ht="15" hidden="false" customHeight="false" outlineLevel="0" collapsed="false">
      <c r="A202" s="18"/>
      <c r="B202" s="10"/>
      <c r="C202" s="10"/>
      <c r="D202" s="10"/>
      <c r="E202" s="10"/>
      <c r="F202" s="10"/>
      <c r="G202" s="10"/>
      <c r="H202" s="10"/>
      <c r="I202" s="10"/>
      <c r="J202" s="10"/>
      <c r="K202" s="25"/>
      <c r="L202" s="26"/>
      <c r="M202" s="25"/>
      <c r="N202" s="10"/>
      <c r="O202" s="10"/>
      <c r="P202" s="10"/>
      <c r="Q202" s="10"/>
      <c r="R202" s="27" t="str">
        <f aca="false">IF(A202="","",ROUND((N202+O202+MIN(K202/40,5)+MIN(M202/5,5))/4,1))</f>
        <v/>
      </c>
      <c r="S202" s="27" t="str">
        <f aca="false">IF(A202="","",ROUND((P202+Q202)/2,1))</f>
        <v/>
      </c>
      <c r="T202" s="10"/>
      <c r="U202" s="10"/>
    </row>
    <row r="203" customFormat="false" ht="15" hidden="false" customHeight="false" outlineLevel="0" collapsed="false">
      <c r="A203" s="18"/>
      <c r="B203" s="10"/>
      <c r="C203" s="10"/>
      <c r="D203" s="10"/>
      <c r="E203" s="10"/>
      <c r="F203" s="10"/>
      <c r="G203" s="10"/>
      <c r="H203" s="10"/>
      <c r="I203" s="10"/>
      <c r="J203" s="10"/>
      <c r="K203" s="25"/>
      <c r="L203" s="26"/>
      <c r="M203" s="25"/>
      <c r="N203" s="10"/>
      <c r="O203" s="10"/>
      <c r="P203" s="10"/>
      <c r="Q203" s="10"/>
      <c r="R203" s="27" t="str">
        <f aca="false">IF(A203="","",ROUND((N203+O203+MIN(K203/40,5)+MIN(M203/5,5))/4,1))</f>
        <v/>
      </c>
      <c r="S203" s="27" t="str">
        <f aca="false">IF(A203="","",ROUND((P203+Q203)/2,1))</f>
        <v/>
      </c>
      <c r="T203" s="10"/>
      <c r="U203" s="10"/>
    </row>
    <row r="204" customFormat="false" ht="15" hidden="false" customHeight="false" outlineLevel="0" collapsed="false">
      <c r="A204" s="18"/>
      <c r="B204" s="10"/>
      <c r="C204" s="10"/>
      <c r="D204" s="10"/>
      <c r="E204" s="10"/>
      <c r="F204" s="10"/>
      <c r="G204" s="10"/>
      <c r="H204" s="10"/>
      <c r="I204" s="10"/>
      <c r="J204" s="10"/>
      <c r="K204" s="25"/>
      <c r="L204" s="26"/>
      <c r="M204" s="25"/>
      <c r="N204" s="10"/>
      <c r="O204" s="10"/>
      <c r="P204" s="10"/>
      <c r="Q204" s="10"/>
      <c r="R204" s="27" t="str">
        <f aca="false">IF(A204="","",ROUND((N204+O204+MIN(K204/40,5)+MIN(M204/5,5))/4,1))</f>
        <v/>
      </c>
      <c r="S204" s="27" t="str">
        <f aca="false">IF(A204="","",ROUND((P204+Q204)/2,1))</f>
        <v/>
      </c>
      <c r="T204" s="10"/>
      <c r="U204" s="10"/>
    </row>
  </sheetData>
  <mergeCells count="2">
    <mergeCell ref="A1:U1"/>
    <mergeCell ref="A2:U2"/>
  </mergeCells>
  <conditionalFormatting sqref="R5:R20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20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allowBlank="false" errorStyle="stop" operator="between" showDropDown="false" showErrorMessage="false" showInputMessage="false" sqref="N5:Q204" type="none">
      <formula1>1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0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6" min="6" style="1" width="38"/>
    <col collapsed="false" customWidth="true" hidden="false" outlineLevel="0" max="7" min="7" style="1" width="24"/>
    <col collapsed="false" customWidth="true" hidden="false" outlineLevel="0" max="8" min="8" style="1" width="40"/>
    <col collapsed="false" customWidth="true" hidden="false" outlineLevel="0" max="9" min="9" style="1" width="24"/>
    <col collapsed="false" customWidth="true" hidden="false" outlineLevel="0" max="10" min="10" style="1" width="20"/>
    <col collapsed="false" customWidth="true" hidden="false" outlineLevel="0" max="11" min="11" style="1" width="34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3.75" hidden="false" customHeight="true" outlineLevel="0" collapsed="false">
      <c r="A2" s="3" t="s">
        <v>418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42" hidden="false" customHeight="true" outlineLevel="0" collapsed="false">
      <c r="A4" s="14" t="s">
        <v>419</v>
      </c>
      <c r="B4" s="9" t="s">
        <v>360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321</v>
      </c>
      <c r="H4" s="9" t="s">
        <v>424</v>
      </c>
      <c r="I4" s="9" t="s">
        <v>425</v>
      </c>
      <c r="J4" s="9" t="s">
        <v>426</v>
      </c>
      <c r="K4" s="9" t="s">
        <v>427</v>
      </c>
      <c r="L4" s="9" t="s">
        <v>182</v>
      </c>
    </row>
    <row r="5" customFormat="false" ht="28.35" hidden="false" customHeight="false" outlineLevel="0" collapsed="false">
      <c r="A5" s="15" t="s">
        <v>428</v>
      </c>
      <c r="B5" s="16" t="s">
        <v>376</v>
      </c>
      <c r="C5" s="17" t="n">
        <v>46228</v>
      </c>
      <c r="D5" s="16" t="s">
        <v>429</v>
      </c>
      <c r="E5" s="16" t="s">
        <v>326</v>
      </c>
      <c r="F5" s="16" t="s">
        <v>430</v>
      </c>
      <c r="G5" s="16" t="s">
        <v>431</v>
      </c>
      <c r="H5" s="16" t="s">
        <v>432</v>
      </c>
      <c r="I5" s="16" t="s">
        <v>131</v>
      </c>
      <c r="J5" s="16" t="s">
        <v>326</v>
      </c>
      <c r="K5" s="16" t="s">
        <v>433</v>
      </c>
      <c r="L5" s="16" t="s">
        <v>385</v>
      </c>
    </row>
    <row r="6" customFormat="false" ht="15" hidden="false" customHeight="false" outlineLevel="0" collapsed="false">
      <c r="A6" s="18"/>
      <c r="B6" s="10"/>
      <c r="C6" s="19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false" outlineLevel="0" collapsed="false">
      <c r="A7" s="18"/>
      <c r="B7" s="10"/>
      <c r="C7" s="19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5" hidden="false" customHeight="false" outlineLevel="0" collapsed="false">
      <c r="A8" s="18"/>
      <c r="B8" s="10"/>
      <c r="C8" s="19"/>
      <c r="D8" s="10"/>
      <c r="E8" s="10"/>
      <c r="F8" s="10"/>
      <c r="G8" s="10"/>
      <c r="H8" s="10"/>
      <c r="I8" s="10"/>
      <c r="J8" s="10"/>
      <c r="K8" s="10"/>
      <c r="L8" s="10"/>
    </row>
    <row r="9" customFormat="false" ht="15" hidden="false" customHeight="false" outlineLevel="0" collapsed="false">
      <c r="A9" s="18"/>
      <c r="B9" s="10"/>
      <c r="C9" s="19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5" hidden="false" customHeight="false" outlineLevel="0" collapsed="false">
      <c r="A10" s="18"/>
      <c r="B10" s="10"/>
      <c r="C10" s="19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18"/>
      <c r="B11" s="10"/>
      <c r="C11" s="19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false" outlineLevel="0" collapsed="false">
      <c r="A12" s="18"/>
      <c r="B12" s="10"/>
      <c r="C12" s="19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5" hidden="false" customHeight="false" outlineLevel="0" collapsed="false">
      <c r="A13" s="18"/>
      <c r="B13" s="10"/>
      <c r="C13" s="19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15" hidden="false" customHeight="false" outlineLevel="0" collapsed="false">
      <c r="A14" s="18"/>
      <c r="B14" s="10"/>
      <c r="C14" s="19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18"/>
      <c r="B15" s="10"/>
      <c r="C15" s="19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5" hidden="false" customHeight="false" outlineLevel="0" collapsed="false">
      <c r="A16" s="18"/>
      <c r="B16" s="10"/>
      <c r="C16" s="19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18"/>
      <c r="B17" s="10"/>
      <c r="C17" s="19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false" outlineLevel="0" collapsed="false">
      <c r="A18" s="18"/>
      <c r="B18" s="10"/>
      <c r="C18" s="19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false" outlineLevel="0" collapsed="false">
      <c r="A19" s="18"/>
      <c r="B19" s="10"/>
      <c r="C19" s="19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15" hidden="false" customHeight="false" outlineLevel="0" collapsed="false">
      <c r="A20" s="18"/>
      <c r="B20" s="10"/>
      <c r="C20" s="19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5" hidden="false" customHeight="false" outlineLevel="0" collapsed="false">
      <c r="A21" s="18"/>
      <c r="B21" s="10"/>
      <c r="C21" s="19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18"/>
      <c r="B22" s="10"/>
      <c r="C22" s="19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8"/>
      <c r="B23" s="10"/>
      <c r="C23" s="19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false" outlineLevel="0" collapsed="false">
      <c r="A24" s="18"/>
      <c r="B24" s="10"/>
      <c r="C24" s="19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15" hidden="false" customHeight="false" outlineLevel="0" collapsed="false">
      <c r="A25" s="18"/>
      <c r="B25" s="10"/>
      <c r="C25" s="19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18"/>
      <c r="B26" s="10"/>
      <c r="C26" s="19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5" hidden="false" customHeight="false" outlineLevel="0" collapsed="false">
      <c r="A27" s="18"/>
      <c r="B27" s="10"/>
      <c r="C27" s="19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5" hidden="false" customHeight="false" outlineLevel="0" collapsed="false">
      <c r="A28" s="18"/>
      <c r="B28" s="10"/>
      <c r="C28" s="19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8"/>
      <c r="B29" s="10"/>
      <c r="C29" s="19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5" hidden="false" customHeight="false" outlineLevel="0" collapsed="false">
      <c r="A30" s="18"/>
      <c r="B30" s="10"/>
      <c r="C30" s="19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false" outlineLevel="0" collapsed="false">
      <c r="A31" s="18"/>
      <c r="B31" s="10"/>
      <c r="C31" s="19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false" outlineLevel="0" collapsed="false">
      <c r="A32" s="18"/>
      <c r="B32" s="10"/>
      <c r="C32" s="19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false" outlineLevel="0" collapsed="false">
      <c r="A33" s="18"/>
      <c r="B33" s="10"/>
      <c r="C33" s="19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false" outlineLevel="0" collapsed="false">
      <c r="A34" s="18"/>
      <c r="B34" s="10"/>
      <c r="C34" s="19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false" outlineLevel="0" collapsed="false">
      <c r="A35" s="18"/>
      <c r="B35" s="10"/>
      <c r="C35" s="19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5" hidden="false" customHeight="false" outlineLevel="0" collapsed="false">
      <c r="A36" s="18"/>
      <c r="B36" s="10"/>
      <c r="C36" s="19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15" hidden="false" customHeight="false" outlineLevel="0" collapsed="false">
      <c r="A37" s="18"/>
      <c r="B37" s="10"/>
      <c r="C37" s="19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false" outlineLevel="0" collapsed="false">
      <c r="A38" s="18"/>
      <c r="B38" s="10"/>
      <c r="C38" s="19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15" hidden="false" customHeight="false" outlineLevel="0" collapsed="false">
      <c r="A39" s="18"/>
      <c r="B39" s="10"/>
      <c r="C39" s="19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5" hidden="false" customHeight="false" outlineLevel="0" collapsed="false">
      <c r="A40" s="18"/>
      <c r="B40" s="10"/>
      <c r="C40" s="19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5" hidden="false" customHeight="false" outlineLevel="0" collapsed="false">
      <c r="A41" s="18"/>
      <c r="B41" s="10"/>
      <c r="C41" s="19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5" hidden="false" customHeight="false" outlineLevel="0" collapsed="false">
      <c r="A42" s="18"/>
      <c r="B42" s="10"/>
      <c r="C42" s="19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15" hidden="false" customHeight="false" outlineLevel="0" collapsed="false">
      <c r="A43" s="18"/>
      <c r="B43" s="10"/>
      <c r="C43" s="19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15" hidden="false" customHeight="false" outlineLevel="0" collapsed="false">
      <c r="A44" s="18"/>
      <c r="B44" s="10"/>
      <c r="C44" s="19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15" hidden="false" customHeight="false" outlineLevel="0" collapsed="false">
      <c r="A45" s="18"/>
      <c r="B45" s="10"/>
      <c r="C45" s="19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5" hidden="false" customHeight="false" outlineLevel="0" collapsed="false">
      <c r="A46" s="18"/>
      <c r="B46" s="10"/>
      <c r="C46" s="19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false" outlineLevel="0" collapsed="false">
      <c r="A47" s="18"/>
      <c r="B47" s="10"/>
      <c r="C47" s="19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15" hidden="false" customHeight="false" outlineLevel="0" collapsed="false">
      <c r="A48" s="18"/>
      <c r="B48" s="10"/>
      <c r="C48" s="19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15" hidden="false" customHeight="false" outlineLevel="0" collapsed="false">
      <c r="A49" s="18"/>
      <c r="B49" s="10"/>
      <c r="C49" s="19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false" outlineLevel="0" collapsed="false">
      <c r="A50" s="18"/>
      <c r="B50" s="10"/>
      <c r="C50" s="19"/>
      <c r="D50" s="10"/>
      <c r="E50" s="10"/>
      <c r="F50" s="10"/>
      <c r="G50" s="10"/>
      <c r="H50" s="10"/>
      <c r="I50" s="10"/>
      <c r="J50" s="10"/>
      <c r="K50" s="10"/>
      <c r="L50" s="10"/>
    </row>
    <row r="51" customFormat="false" ht="15" hidden="false" customHeight="false" outlineLevel="0" collapsed="false">
      <c r="A51" s="18"/>
      <c r="B51" s="10"/>
      <c r="C51" s="19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15" hidden="false" customHeight="false" outlineLevel="0" collapsed="false">
      <c r="A52" s="18"/>
      <c r="B52" s="10"/>
      <c r="C52" s="19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15" hidden="false" customHeight="false" outlineLevel="0" collapsed="false">
      <c r="A53" s="18"/>
      <c r="B53" s="10"/>
      <c r="C53" s="19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5" hidden="false" customHeight="false" outlineLevel="0" collapsed="false">
      <c r="A54" s="18"/>
      <c r="B54" s="10"/>
      <c r="C54" s="19"/>
      <c r="D54" s="10"/>
      <c r="E54" s="10"/>
      <c r="F54" s="10"/>
      <c r="G54" s="10"/>
      <c r="H54" s="10"/>
      <c r="I54" s="10"/>
      <c r="J54" s="10"/>
      <c r="K54" s="10"/>
      <c r="L54" s="10"/>
    </row>
    <row r="55" customFormat="false" ht="15" hidden="false" customHeight="false" outlineLevel="0" collapsed="false">
      <c r="A55" s="18"/>
      <c r="B55" s="10"/>
      <c r="C55" s="19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false" outlineLevel="0" collapsed="false">
      <c r="A56" s="18"/>
      <c r="B56" s="10"/>
      <c r="C56" s="19"/>
      <c r="D56" s="10"/>
      <c r="E56" s="10"/>
      <c r="F56" s="10"/>
      <c r="G56" s="10"/>
      <c r="H56" s="10"/>
      <c r="I56" s="10"/>
      <c r="J56" s="10"/>
      <c r="K56" s="10"/>
      <c r="L56" s="10"/>
    </row>
    <row r="57" customFormat="false" ht="15" hidden="false" customHeight="false" outlineLevel="0" collapsed="false">
      <c r="A57" s="18"/>
      <c r="B57" s="10"/>
      <c r="C57" s="19"/>
      <c r="D57" s="10"/>
      <c r="E57" s="10"/>
      <c r="F57" s="10"/>
      <c r="G57" s="10"/>
      <c r="H57" s="10"/>
      <c r="I57" s="10"/>
      <c r="J57" s="10"/>
      <c r="K57" s="10"/>
      <c r="L57" s="10"/>
    </row>
    <row r="58" customFormat="false" ht="15" hidden="false" customHeight="false" outlineLevel="0" collapsed="false">
      <c r="A58" s="18"/>
      <c r="B58" s="10"/>
      <c r="C58" s="19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false" outlineLevel="0" collapsed="false">
      <c r="A59" s="18"/>
      <c r="B59" s="10"/>
      <c r="C59" s="19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15" hidden="false" customHeight="false" outlineLevel="0" collapsed="false">
      <c r="A60" s="18"/>
      <c r="B60" s="10"/>
      <c r="C60" s="19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15" hidden="false" customHeight="false" outlineLevel="0" collapsed="false">
      <c r="A61" s="18"/>
      <c r="B61" s="10"/>
      <c r="C61" s="19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false" outlineLevel="0" collapsed="false">
      <c r="A62" s="18"/>
      <c r="B62" s="10"/>
      <c r="C62" s="19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15" hidden="false" customHeight="false" outlineLevel="0" collapsed="false">
      <c r="A63" s="18"/>
      <c r="B63" s="10"/>
      <c r="C63" s="19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5" hidden="false" customHeight="false" outlineLevel="0" collapsed="false">
      <c r="A64" s="18"/>
      <c r="B64" s="10"/>
      <c r="C64" s="19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false" outlineLevel="0" collapsed="false">
      <c r="A65" s="18"/>
      <c r="B65" s="10"/>
      <c r="C65" s="19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false" outlineLevel="0" collapsed="false">
      <c r="A66" s="18"/>
      <c r="B66" s="10"/>
      <c r="C66" s="19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15" hidden="false" customHeight="false" outlineLevel="0" collapsed="false">
      <c r="A67" s="18"/>
      <c r="B67" s="10"/>
      <c r="C67" s="19"/>
      <c r="D67" s="10"/>
      <c r="E67" s="10"/>
      <c r="F67" s="10"/>
      <c r="G67" s="10"/>
      <c r="H67" s="10"/>
      <c r="I67" s="10"/>
      <c r="J67" s="10"/>
      <c r="K67" s="10"/>
      <c r="L67" s="10"/>
    </row>
    <row r="68" customFormat="false" ht="15" hidden="false" customHeight="false" outlineLevel="0" collapsed="false">
      <c r="A68" s="18"/>
      <c r="B68" s="10"/>
      <c r="C68" s="19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15" hidden="false" customHeight="false" outlineLevel="0" collapsed="false">
      <c r="A69" s="18"/>
      <c r="B69" s="10"/>
      <c r="C69" s="19"/>
      <c r="D69" s="10"/>
      <c r="E69" s="10"/>
      <c r="F69" s="10"/>
      <c r="G69" s="10"/>
      <c r="H69" s="10"/>
      <c r="I69" s="10"/>
      <c r="J69" s="10"/>
      <c r="K69" s="10"/>
      <c r="L69" s="10"/>
    </row>
    <row r="70" customFormat="false" ht="15" hidden="false" customHeight="false" outlineLevel="0" collapsed="false">
      <c r="A70" s="18"/>
      <c r="B70" s="10"/>
      <c r="C70" s="19"/>
      <c r="D70" s="10"/>
      <c r="E70" s="10"/>
      <c r="F70" s="10"/>
      <c r="G70" s="10"/>
      <c r="H70" s="10"/>
      <c r="I70" s="10"/>
      <c r="J70" s="10"/>
      <c r="K70" s="10"/>
      <c r="L70" s="10"/>
    </row>
    <row r="71" customFormat="false" ht="15" hidden="false" customHeight="false" outlineLevel="0" collapsed="false">
      <c r="A71" s="18"/>
      <c r="B71" s="10"/>
      <c r="C71" s="19"/>
      <c r="D71" s="10"/>
      <c r="E71" s="10"/>
      <c r="F71" s="10"/>
      <c r="G71" s="10"/>
      <c r="H71" s="10"/>
      <c r="I71" s="10"/>
      <c r="J71" s="10"/>
      <c r="K71" s="10"/>
      <c r="L71" s="10"/>
    </row>
    <row r="72" customFormat="false" ht="15" hidden="false" customHeight="false" outlineLevel="0" collapsed="false">
      <c r="A72" s="18"/>
      <c r="B72" s="10"/>
      <c r="C72" s="19"/>
      <c r="D72" s="10"/>
      <c r="E72" s="10"/>
      <c r="F72" s="10"/>
      <c r="G72" s="10"/>
      <c r="H72" s="10"/>
      <c r="I72" s="10"/>
      <c r="J72" s="10"/>
      <c r="K72" s="10"/>
      <c r="L72" s="10"/>
    </row>
    <row r="73" customFormat="false" ht="15" hidden="false" customHeight="false" outlineLevel="0" collapsed="false">
      <c r="A73" s="18"/>
      <c r="B73" s="10"/>
      <c r="C73" s="19"/>
      <c r="D73" s="10"/>
      <c r="E73" s="10"/>
      <c r="F73" s="10"/>
      <c r="G73" s="10"/>
      <c r="H73" s="10"/>
      <c r="I73" s="10"/>
      <c r="J73" s="10"/>
      <c r="K73" s="10"/>
      <c r="L73" s="10"/>
    </row>
    <row r="74" customFormat="false" ht="15" hidden="false" customHeight="false" outlineLevel="0" collapsed="false">
      <c r="A74" s="18"/>
      <c r="B74" s="10"/>
      <c r="C74" s="19"/>
      <c r="D74" s="10"/>
      <c r="E74" s="10"/>
      <c r="F74" s="10"/>
      <c r="G74" s="10"/>
      <c r="H74" s="10"/>
      <c r="I74" s="10"/>
      <c r="J74" s="10"/>
      <c r="K74" s="10"/>
      <c r="L74" s="10"/>
    </row>
    <row r="75" customFormat="false" ht="15" hidden="false" customHeight="false" outlineLevel="0" collapsed="false">
      <c r="A75" s="18"/>
      <c r="B75" s="10"/>
      <c r="C75" s="19"/>
      <c r="D75" s="10"/>
      <c r="E75" s="10"/>
      <c r="F75" s="10"/>
      <c r="G75" s="10"/>
      <c r="H75" s="10"/>
      <c r="I75" s="10"/>
      <c r="J75" s="10"/>
      <c r="K75" s="10"/>
      <c r="L75" s="10"/>
    </row>
    <row r="76" customFormat="false" ht="15" hidden="false" customHeight="false" outlineLevel="0" collapsed="false">
      <c r="A76" s="18"/>
      <c r="B76" s="10"/>
      <c r="C76" s="19"/>
      <c r="D76" s="10"/>
      <c r="E76" s="10"/>
      <c r="F76" s="10"/>
      <c r="G76" s="10"/>
      <c r="H76" s="10"/>
      <c r="I76" s="10"/>
      <c r="J76" s="10"/>
      <c r="K76" s="10"/>
      <c r="L76" s="10"/>
    </row>
    <row r="77" customFormat="false" ht="15" hidden="false" customHeight="false" outlineLevel="0" collapsed="false">
      <c r="A77" s="18"/>
      <c r="B77" s="10"/>
      <c r="C77" s="19"/>
      <c r="D77" s="10"/>
      <c r="E77" s="10"/>
      <c r="F77" s="10"/>
      <c r="G77" s="10"/>
      <c r="H77" s="10"/>
      <c r="I77" s="10"/>
      <c r="J77" s="10"/>
      <c r="K77" s="10"/>
      <c r="L77" s="10"/>
    </row>
    <row r="78" customFormat="false" ht="15" hidden="false" customHeight="false" outlineLevel="0" collapsed="false">
      <c r="A78" s="18"/>
      <c r="B78" s="10"/>
      <c r="C78" s="19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5" hidden="false" customHeight="false" outlineLevel="0" collapsed="false">
      <c r="A79" s="18"/>
      <c r="B79" s="10"/>
      <c r="C79" s="19"/>
      <c r="D79" s="10"/>
      <c r="E79" s="10"/>
      <c r="F79" s="10"/>
      <c r="G79" s="10"/>
      <c r="H79" s="10"/>
      <c r="I79" s="10"/>
      <c r="J79" s="10"/>
      <c r="K79" s="10"/>
      <c r="L79" s="10"/>
    </row>
    <row r="80" customFormat="false" ht="15" hidden="false" customHeight="false" outlineLevel="0" collapsed="false">
      <c r="A80" s="18"/>
      <c r="B80" s="10"/>
      <c r="C80" s="19"/>
      <c r="D80" s="10"/>
      <c r="E80" s="10"/>
      <c r="F80" s="10"/>
      <c r="G80" s="10"/>
      <c r="H80" s="10"/>
      <c r="I80" s="10"/>
      <c r="J80" s="10"/>
      <c r="K80" s="10"/>
      <c r="L80" s="10"/>
    </row>
    <row r="81" customFormat="false" ht="15" hidden="false" customHeight="false" outlineLevel="0" collapsed="false">
      <c r="A81" s="18"/>
      <c r="B81" s="10"/>
      <c r="C81" s="19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15" hidden="false" customHeight="false" outlineLevel="0" collapsed="false">
      <c r="A82" s="18"/>
      <c r="B82" s="10"/>
      <c r="C82" s="19"/>
      <c r="D82" s="10"/>
      <c r="E82" s="10"/>
      <c r="F82" s="10"/>
      <c r="G82" s="10"/>
      <c r="H82" s="10"/>
      <c r="I82" s="10"/>
      <c r="J82" s="10"/>
      <c r="K82" s="10"/>
      <c r="L82" s="10"/>
    </row>
    <row r="83" customFormat="false" ht="15" hidden="false" customHeight="false" outlineLevel="0" collapsed="false">
      <c r="A83" s="18"/>
      <c r="B83" s="10"/>
      <c r="C83" s="19"/>
      <c r="D83" s="10"/>
      <c r="E83" s="10"/>
      <c r="F83" s="10"/>
      <c r="G83" s="10"/>
      <c r="H83" s="10"/>
      <c r="I83" s="10"/>
      <c r="J83" s="10"/>
      <c r="K83" s="10"/>
      <c r="L83" s="10"/>
    </row>
    <row r="84" customFormat="false" ht="15" hidden="false" customHeight="false" outlineLevel="0" collapsed="false">
      <c r="A84" s="18"/>
      <c r="B84" s="10"/>
      <c r="C84" s="19"/>
      <c r="D84" s="10"/>
      <c r="E84" s="10"/>
      <c r="F84" s="10"/>
      <c r="G84" s="10"/>
      <c r="H84" s="10"/>
      <c r="I84" s="10"/>
      <c r="J84" s="10"/>
      <c r="K84" s="10"/>
      <c r="L84" s="10"/>
    </row>
    <row r="85" customFormat="false" ht="15" hidden="false" customHeight="false" outlineLevel="0" collapsed="false">
      <c r="A85" s="18"/>
      <c r="B85" s="10"/>
      <c r="C85" s="19"/>
      <c r="D85" s="10"/>
      <c r="E85" s="10"/>
      <c r="F85" s="10"/>
      <c r="G85" s="10"/>
      <c r="H85" s="10"/>
      <c r="I85" s="10"/>
      <c r="J85" s="10"/>
      <c r="K85" s="10"/>
      <c r="L85" s="10"/>
    </row>
    <row r="86" customFormat="false" ht="15" hidden="false" customHeight="false" outlineLevel="0" collapsed="false">
      <c r="A86" s="18"/>
      <c r="B86" s="10"/>
      <c r="C86" s="19"/>
      <c r="D86" s="10"/>
      <c r="E86" s="10"/>
      <c r="F86" s="10"/>
      <c r="G86" s="10"/>
      <c r="H86" s="10"/>
      <c r="I86" s="10"/>
      <c r="J86" s="10"/>
      <c r="K86" s="10"/>
      <c r="L86" s="10"/>
    </row>
    <row r="87" customFormat="false" ht="15" hidden="false" customHeight="false" outlineLevel="0" collapsed="false">
      <c r="A87" s="18"/>
      <c r="B87" s="10"/>
      <c r="C87" s="19"/>
      <c r="D87" s="10"/>
      <c r="E87" s="10"/>
      <c r="F87" s="10"/>
      <c r="G87" s="10"/>
      <c r="H87" s="10"/>
      <c r="I87" s="10"/>
      <c r="J87" s="10"/>
      <c r="K87" s="10"/>
      <c r="L87" s="10"/>
    </row>
    <row r="88" customFormat="false" ht="15" hidden="false" customHeight="false" outlineLevel="0" collapsed="false">
      <c r="A88" s="18"/>
      <c r="B88" s="10"/>
      <c r="C88" s="19"/>
      <c r="D88" s="10"/>
      <c r="E88" s="10"/>
      <c r="F88" s="10"/>
      <c r="G88" s="10"/>
      <c r="H88" s="10"/>
      <c r="I88" s="10"/>
      <c r="J88" s="10"/>
      <c r="K88" s="10"/>
      <c r="L88" s="10"/>
    </row>
    <row r="89" customFormat="false" ht="15" hidden="false" customHeight="false" outlineLevel="0" collapsed="false">
      <c r="A89" s="18"/>
      <c r="B89" s="10"/>
      <c r="C89" s="19"/>
      <c r="D89" s="10"/>
      <c r="E89" s="10"/>
      <c r="F89" s="10"/>
      <c r="G89" s="10"/>
      <c r="H89" s="10"/>
      <c r="I89" s="10"/>
      <c r="J89" s="10"/>
      <c r="K89" s="10"/>
      <c r="L89" s="10"/>
    </row>
    <row r="90" customFormat="false" ht="15" hidden="false" customHeight="false" outlineLevel="0" collapsed="false">
      <c r="A90" s="18"/>
      <c r="B90" s="10"/>
      <c r="C90" s="19"/>
      <c r="D90" s="10"/>
      <c r="E90" s="10"/>
      <c r="F90" s="10"/>
      <c r="G90" s="10"/>
      <c r="H90" s="10"/>
      <c r="I90" s="10"/>
      <c r="J90" s="10"/>
      <c r="K90" s="10"/>
      <c r="L90" s="10"/>
    </row>
    <row r="91" customFormat="false" ht="15" hidden="false" customHeight="false" outlineLevel="0" collapsed="false">
      <c r="A91" s="18"/>
      <c r="B91" s="10"/>
      <c r="C91" s="19"/>
      <c r="D91" s="10"/>
      <c r="E91" s="10"/>
      <c r="F91" s="10"/>
      <c r="G91" s="10"/>
      <c r="H91" s="10"/>
      <c r="I91" s="10"/>
      <c r="J91" s="10"/>
      <c r="K91" s="10"/>
      <c r="L91" s="10"/>
    </row>
    <row r="92" customFormat="false" ht="15" hidden="false" customHeight="false" outlineLevel="0" collapsed="false">
      <c r="A92" s="18"/>
      <c r="B92" s="10"/>
      <c r="C92" s="19"/>
      <c r="D92" s="10"/>
      <c r="E92" s="10"/>
      <c r="F92" s="10"/>
      <c r="G92" s="10"/>
      <c r="H92" s="10"/>
      <c r="I92" s="10"/>
      <c r="J92" s="10"/>
      <c r="K92" s="10"/>
      <c r="L92" s="10"/>
    </row>
    <row r="93" customFormat="false" ht="15" hidden="false" customHeight="false" outlineLevel="0" collapsed="false">
      <c r="A93" s="18"/>
      <c r="B93" s="10"/>
      <c r="C93" s="19"/>
      <c r="D93" s="10"/>
      <c r="E93" s="10"/>
      <c r="F93" s="10"/>
      <c r="G93" s="10"/>
      <c r="H93" s="10"/>
      <c r="I93" s="10"/>
      <c r="J93" s="10"/>
      <c r="K93" s="10"/>
      <c r="L93" s="10"/>
    </row>
    <row r="94" customFormat="false" ht="15" hidden="false" customHeight="false" outlineLevel="0" collapsed="false">
      <c r="A94" s="18"/>
      <c r="B94" s="10"/>
      <c r="C94" s="19"/>
      <c r="D94" s="10"/>
      <c r="E94" s="10"/>
      <c r="F94" s="10"/>
      <c r="G94" s="10"/>
      <c r="H94" s="10"/>
      <c r="I94" s="10"/>
      <c r="J94" s="10"/>
      <c r="K94" s="10"/>
      <c r="L94" s="10"/>
    </row>
    <row r="95" customFormat="false" ht="15" hidden="false" customHeight="false" outlineLevel="0" collapsed="false">
      <c r="A95" s="18"/>
      <c r="B95" s="10"/>
      <c r="C95" s="19"/>
      <c r="D95" s="10"/>
      <c r="E95" s="10"/>
      <c r="F95" s="10"/>
      <c r="G95" s="10"/>
      <c r="H95" s="10"/>
      <c r="I95" s="10"/>
      <c r="J95" s="10"/>
      <c r="K95" s="10"/>
      <c r="L95" s="10"/>
    </row>
    <row r="96" customFormat="false" ht="15" hidden="false" customHeight="false" outlineLevel="0" collapsed="false">
      <c r="A96" s="18"/>
      <c r="B96" s="10"/>
      <c r="C96" s="19"/>
      <c r="D96" s="10"/>
      <c r="E96" s="10"/>
      <c r="F96" s="10"/>
      <c r="G96" s="10"/>
      <c r="H96" s="10"/>
      <c r="I96" s="10"/>
      <c r="J96" s="10"/>
      <c r="K96" s="10"/>
      <c r="L96" s="10"/>
    </row>
    <row r="97" customFormat="false" ht="15" hidden="false" customHeight="false" outlineLevel="0" collapsed="false">
      <c r="A97" s="18"/>
      <c r="B97" s="10"/>
      <c r="C97" s="19"/>
      <c r="D97" s="10"/>
      <c r="E97" s="10"/>
      <c r="F97" s="10"/>
      <c r="G97" s="10"/>
      <c r="H97" s="10"/>
      <c r="I97" s="10"/>
      <c r="J97" s="10"/>
      <c r="K97" s="10"/>
      <c r="L97" s="10"/>
    </row>
    <row r="98" customFormat="false" ht="15" hidden="false" customHeight="false" outlineLevel="0" collapsed="false">
      <c r="A98" s="18"/>
      <c r="B98" s="10"/>
      <c r="C98" s="19"/>
      <c r="D98" s="10"/>
      <c r="E98" s="10"/>
      <c r="F98" s="10"/>
      <c r="G98" s="10"/>
      <c r="H98" s="10"/>
      <c r="I98" s="10"/>
      <c r="J98" s="10"/>
      <c r="K98" s="10"/>
      <c r="L98" s="10"/>
    </row>
    <row r="99" customFormat="false" ht="15" hidden="false" customHeight="false" outlineLevel="0" collapsed="false">
      <c r="A99" s="18"/>
      <c r="B99" s="10"/>
      <c r="C99" s="19"/>
      <c r="D99" s="10"/>
      <c r="E99" s="10"/>
      <c r="F99" s="10"/>
      <c r="G99" s="10"/>
      <c r="H99" s="10"/>
      <c r="I99" s="10"/>
      <c r="J99" s="10"/>
      <c r="K99" s="10"/>
      <c r="L99" s="10"/>
    </row>
    <row r="100" customFormat="false" ht="15" hidden="false" customHeight="false" outlineLevel="0" collapsed="false">
      <c r="A100" s="18"/>
      <c r="B100" s="10"/>
      <c r="C100" s="19"/>
      <c r="D100" s="10"/>
      <c r="E100" s="10"/>
      <c r="F100" s="10"/>
      <c r="G100" s="10"/>
      <c r="H100" s="10"/>
      <c r="I100" s="10"/>
      <c r="J100" s="10"/>
      <c r="K100" s="10"/>
      <c r="L100" s="10"/>
    </row>
    <row r="101" customFormat="false" ht="15" hidden="false" customHeight="false" outlineLevel="0" collapsed="false">
      <c r="A101" s="18"/>
      <c r="B101" s="10"/>
      <c r="C101" s="19"/>
      <c r="D101" s="10"/>
      <c r="E101" s="10"/>
      <c r="F101" s="10"/>
      <c r="G101" s="10"/>
      <c r="H101" s="10"/>
      <c r="I101" s="10"/>
      <c r="J101" s="10"/>
      <c r="K101" s="10"/>
      <c r="L101" s="10"/>
    </row>
    <row r="102" customFormat="false" ht="15" hidden="false" customHeight="false" outlineLevel="0" collapsed="false">
      <c r="A102" s="18"/>
      <c r="B102" s="10"/>
      <c r="C102" s="19"/>
      <c r="D102" s="10"/>
      <c r="E102" s="10"/>
      <c r="F102" s="10"/>
      <c r="G102" s="10"/>
      <c r="H102" s="10"/>
      <c r="I102" s="10"/>
      <c r="J102" s="10"/>
      <c r="K102" s="10"/>
      <c r="L102" s="10"/>
    </row>
    <row r="103" customFormat="false" ht="15" hidden="false" customHeight="false" outlineLevel="0" collapsed="false">
      <c r="A103" s="18"/>
      <c r="B103" s="10"/>
      <c r="C103" s="19"/>
      <c r="D103" s="10"/>
      <c r="E103" s="10"/>
      <c r="F103" s="10"/>
      <c r="G103" s="10"/>
      <c r="H103" s="10"/>
      <c r="I103" s="10"/>
      <c r="J103" s="10"/>
      <c r="K103" s="10"/>
      <c r="L103" s="10"/>
    </row>
    <row r="104" customFormat="false" ht="15" hidden="false" customHeight="false" outlineLevel="0" collapsed="false">
      <c r="A104" s="18"/>
      <c r="B104" s="10"/>
      <c r="C104" s="19"/>
      <c r="D104" s="10"/>
      <c r="E104" s="10"/>
      <c r="F104" s="10"/>
      <c r="G104" s="10"/>
      <c r="H104" s="10"/>
      <c r="I104" s="10"/>
      <c r="J104" s="10"/>
      <c r="K104" s="10"/>
      <c r="L104" s="10"/>
    </row>
    <row r="105" customFormat="false" ht="15" hidden="false" customHeight="false" outlineLevel="0" collapsed="false">
      <c r="A105" s="18"/>
      <c r="B105" s="10"/>
      <c r="C105" s="19"/>
      <c r="D105" s="10"/>
      <c r="E105" s="10"/>
      <c r="F105" s="10"/>
      <c r="G105" s="10"/>
      <c r="H105" s="10"/>
      <c r="I105" s="10"/>
      <c r="J105" s="10"/>
      <c r="K105" s="10"/>
      <c r="L105" s="10"/>
    </row>
    <row r="106" customFormat="false" ht="15" hidden="false" customHeight="false" outlineLevel="0" collapsed="false">
      <c r="A106" s="18"/>
      <c r="B106" s="10"/>
      <c r="C106" s="19"/>
      <c r="D106" s="10"/>
      <c r="E106" s="10"/>
      <c r="F106" s="10"/>
      <c r="G106" s="10"/>
      <c r="H106" s="10"/>
      <c r="I106" s="10"/>
      <c r="J106" s="10"/>
      <c r="K106" s="10"/>
      <c r="L106" s="10"/>
    </row>
    <row r="107" customFormat="false" ht="15" hidden="false" customHeight="false" outlineLevel="0" collapsed="false">
      <c r="A107" s="18"/>
      <c r="B107" s="10"/>
      <c r="C107" s="19"/>
      <c r="D107" s="10"/>
      <c r="E107" s="10"/>
      <c r="F107" s="10"/>
      <c r="G107" s="10"/>
      <c r="H107" s="10"/>
      <c r="I107" s="10"/>
      <c r="J107" s="10"/>
      <c r="K107" s="10"/>
      <c r="L107" s="10"/>
    </row>
    <row r="108" customFormat="false" ht="15" hidden="false" customHeight="false" outlineLevel="0" collapsed="false">
      <c r="A108" s="18"/>
      <c r="B108" s="10"/>
      <c r="C108" s="19"/>
      <c r="D108" s="10"/>
      <c r="E108" s="10"/>
      <c r="F108" s="10"/>
      <c r="G108" s="10"/>
      <c r="H108" s="10"/>
      <c r="I108" s="10"/>
      <c r="J108" s="10"/>
      <c r="K108" s="10"/>
      <c r="L108" s="10"/>
    </row>
    <row r="109" customFormat="false" ht="15" hidden="false" customHeight="false" outlineLevel="0" collapsed="false">
      <c r="A109" s="18"/>
      <c r="B109" s="10"/>
      <c r="C109" s="19"/>
      <c r="D109" s="10"/>
      <c r="E109" s="10"/>
      <c r="F109" s="10"/>
      <c r="G109" s="10"/>
      <c r="H109" s="10"/>
      <c r="I109" s="10"/>
      <c r="J109" s="10"/>
      <c r="K109" s="10"/>
      <c r="L109" s="10"/>
    </row>
    <row r="110" customFormat="false" ht="15" hidden="false" customHeight="false" outlineLevel="0" collapsed="false">
      <c r="A110" s="18"/>
      <c r="B110" s="10"/>
      <c r="C110" s="19"/>
      <c r="D110" s="10"/>
      <c r="E110" s="10"/>
      <c r="F110" s="10"/>
      <c r="G110" s="10"/>
      <c r="H110" s="10"/>
      <c r="I110" s="10"/>
      <c r="J110" s="10"/>
      <c r="K110" s="10"/>
      <c r="L110" s="10"/>
    </row>
    <row r="111" customFormat="false" ht="15" hidden="false" customHeight="false" outlineLevel="0" collapsed="false">
      <c r="A111" s="18"/>
      <c r="B111" s="10"/>
      <c r="C111" s="19"/>
      <c r="D111" s="10"/>
      <c r="E111" s="10"/>
      <c r="F111" s="10"/>
      <c r="G111" s="10"/>
      <c r="H111" s="10"/>
      <c r="I111" s="10"/>
      <c r="J111" s="10"/>
      <c r="K111" s="10"/>
      <c r="L111" s="10"/>
    </row>
    <row r="112" customFormat="false" ht="15" hidden="false" customHeight="false" outlineLevel="0" collapsed="false">
      <c r="A112" s="18"/>
      <c r="B112" s="10"/>
      <c r="C112" s="19"/>
      <c r="D112" s="10"/>
      <c r="E112" s="10"/>
      <c r="F112" s="10"/>
      <c r="G112" s="10"/>
      <c r="H112" s="10"/>
      <c r="I112" s="10"/>
      <c r="J112" s="10"/>
      <c r="K112" s="10"/>
      <c r="L112" s="10"/>
    </row>
    <row r="113" customFormat="false" ht="15" hidden="false" customHeight="false" outlineLevel="0" collapsed="false">
      <c r="A113" s="18"/>
      <c r="B113" s="10"/>
      <c r="C113" s="19"/>
      <c r="D113" s="10"/>
      <c r="E113" s="10"/>
      <c r="F113" s="10"/>
      <c r="G113" s="10"/>
      <c r="H113" s="10"/>
      <c r="I113" s="10"/>
      <c r="J113" s="10"/>
      <c r="K113" s="10"/>
      <c r="L113" s="10"/>
    </row>
    <row r="114" customFormat="false" ht="15" hidden="false" customHeight="false" outlineLevel="0" collapsed="false">
      <c r="A114" s="18"/>
      <c r="B114" s="10"/>
      <c r="C114" s="19"/>
      <c r="D114" s="10"/>
      <c r="E114" s="10"/>
      <c r="F114" s="10"/>
      <c r="G114" s="10"/>
      <c r="H114" s="10"/>
      <c r="I114" s="10"/>
      <c r="J114" s="10"/>
      <c r="K114" s="10"/>
      <c r="L114" s="10"/>
    </row>
    <row r="115" customFormat="false" ht="15" hidden="false" customHeight="false" outlineLevel="0" collapsed="false">
      <c r="A115" s="18"/>
      <c r="B115" s="10"/>
      <c r="C115" s="19"/>
      <c r="D115" s="10"/>
      <c r="E115" s="10"/>
      <c r="F115" s="10"/>
      <c r="G115" s="10"/>
      <c r="H115" s="10"/>
      <c r="I115" s="10"/>
      <c r="J115" s="10"/>
      <c r="K115" s="10"/>
      <c r="L115" s="10"/>
    </row>
    <row r="116" customFormat="false" ht="15" hidden="false" customHeight="false" outlineLevel="0" collapsed="false">
      <c r="A116" s="18"/>
      <c r="B116" s="10"/>
      <c r="C116" s="19"/>
      <c r="D116" s="10"/>
      <c r="E116" s="10"/>
      <c r="F116" s="10"/>
      <c r="G116" s="10"/>
      <c r="H116" s="10"/>
      <c r="I116" s="10"/>
      <c r="J116" s="10"/>
      <c r="K116" s="10"/>
      <c r="L116" s="10"/>
    </row>
    <row r="117" customFormat="false" ht="15" hidden="false" customHeight="false" outlineLevel="0" collapsed="false">
      <c r="A117" s="18"/>
      <c r="B117" s="10"/>
      <c r="C117" s="19"/>
      <c r="D117" s="10"/>
      <c r="E117" s="10"/>
      <c r="F117" s="10"/>
      <c r="G117" s="10"/>
      <c r="H117" s="10"/>
      <c r="I117" s="10"/>
      <c r="J117" s="10"/>
      <c r="K117" s="10"/>
      <c r="L117" s="10"/>
    </row>
    <row r="118" customFormat="false" ht="15" hidden="false" customHeight="false" outlineLevel="0" collapsed="false">
      <c r="A118" s="18"/>
      <c r="B118" s="10"/>
      <c r="C118" s="19"/>
      <c r="D118" s="10"/>
      <c r="E118" s="10"/>
      <c r="F118" s="10"/>
      <c r="G118" s="10"/>
      <c r="H118" s="10"/>
      <c r="I118" s="10"/>
      <c r="J118" s="10"/>
      <c r="K118" s="10"/>
      <c r="L118" s="10"/>
    </row>
    <row r="119" customFormat="false" ht="15" hidden="false" customHeight="false" outlineLevel="0" collapsed="false">
      <c r="A119" s="18"/>
      <c r="B119" s="10"/>
      <c r="C119" s="19"/>
      <c r="D119" s="10"/>
      <c r="E119" s="10"/>
      <c r="F119" s="10"/>
      <c r="G119" s="10"/>
      <c r="H119" s="10"/>
      <c r="I119" s="10"/>
      <c r="J119" s="10"/>
      <c r="K119" s="10"/>
      <c r="L119" s="10"/>
    </row>
    <row r="120" customFormat="false" ht="15" hidden="false" customHeight="false" outlineLevel="0" collapsed="false">
      <c r="A120" s="18"/>
      <c r="B120" s="10"/>
      <c r="C120" s="19"/>
      <c r="D120" s="10"/>
      <c r="E120" s="10"/>
      <c r="F120" s="10"/>
      <c r="G120" s="10"/>
      <c r="H120" s="10"/>
      <c r="I120" s="10"/>
      <c r="J120" s="10"/>
      <c r="K120" s="10"/>
      <c r="L120" s="10"/>
    </row>
    <row r="121" customFormat="false" ht="15" hidden="false" customHeight="false" outlineLevel="0" collapsed="false">
      <c r="A121" s="18"/>
      <c r="B121" s="10"/>
      <c r="C121" s="19"/>
      <c r="D121" s="10"/>
      <c r="E121" s="10"/>
      <c r="F121" s="10"/>
      <c r="G121" s="10"/>
      <c r="H121" s="10"/>
      <c r="I121" s="10"/>
      <c r="J121" s="10"/>
      <c r="K121" s="10"/>
      <c r="L121" s="10"/>
    </row>
    <row r="122" customFormat="false" ht="15" hidden="false" customHeight="false" outlineLevel="0" collapsed="false">
      <c r="A122" s="18"/>
      <c r="B122" s="10"/>
      <c r="C122" s="19"/>
      <c r="D122" s="10"/>
      <c r="E122" s="10"/>
      <c r="F122" s="10"/>
      <c r="G122" s="10"/>
      <c r="H122" s="10"/>
      <c r="I122" s="10"/>
      <c r="J122" s="10"/>
      <c r="K122" s="10"/>
      <c r="L122" s="10"/>
    </row>
    <row r="123" customFormat="false" ht="15" hidden="false" customHeight="false" outlineLevel="0" collapsed="false">
      <c r="A123" s="18"/>
      <c r="B123" s="10"/>
      <c r="C123" s="19"/>
      <c r="D123" s="10"/>
      <c r="E123" s="10"/>
      <c r="F123" s="10"/>
      <c r="G123" s="10"/>
      <c r="H123" s="10"/>
      <c r="I123" s="10"/>
      <c r="J123" s="10"/>
      <c r="K123" s="10"/>
      <c r="L123" s="10"/>
    </row>
    <row r="124" customFormat="false" ht="15" hidden="false" customHeight="false" outlineLevel="0" collapsed="false">
      <c r="A124" s="18"/>
      <c r="B124" s="10"/>
      <c r="C124" s="19"/>
      <c r="D124" s="10"/>
      <c r="E124" s="10"/>
      <c r="F124" s="10"/>
      <c r="G124" s="10"/>
      <c r="H124" s="10"/>
      <c r="I124" s="10"/>
      <c r="J124" s="10"/>
      <c r="K124" s="10"/>
      <c r="L124" s="10"/>
    </row>
    <row r="125" customFormat="false" ht="15" hidden="false" customHeight="false" outlineLevel="0" collapsed="false">
      <c r="A125" s="18"/>
      <c r="B125" s="10"/>
      <c r="C125" s="19"/>
      <c r="D125" s="10"/>
      <c r="E125" s="10"/>
      <c r="F125" s="10"/>
      <c r="G125" s="10"/>
      <c r="H125" s="10"/>
      <c r="I125" s="10"/>
      <c r="J125" s="10"/>
      <c r="K125" s="10"/>
      <c r="L125" s="10"/>
    </row>
    <row r="126" customFormat="false" ht="15" hidden="false" customHeight="false" outlineLevel="0" collapsed="false">
      <c r="A126" s="18"/>
      <c r="B126" s="10"/>
      <c r="C126" s="19"/>
      <c r="D126" s="10"/>
      <c r="E126" s="10"/>
      <c r="F126" s="10"/>
      <c r="G126" s="10"/>
      <c r="H126" s="10"/>
      <c r="I126" s="10"/>
      <c r="J126" s="10"/>
      <c r="K126" s="10"/>
      <c r="L126" s="10"/>
    </row>
    <row r="127" customFormat="false" ht="15" hidden="false" customHeight="false" outlineLevel="0" collapsed="false">
      <c r="A127" s="18"/>
      <c r="B127" s="10"/>
      <c r="C127" s="19"/>
      <c r="D127" s="10"/>
      <c r="E127" s="10"/>
      <c r="F127" s="10"/>
      <c r="G127" s="10"/>
      <c r="H127" s="10"/>
      <c r="I127" s="10"/>
      <c r="J127" s="10"/>
      <c r="K127" s="10"/>
      <c r="L127" s="10"/>
    </row>
    <row r="128" customFormat="false" ht="15" hidden="false" customHeight="false" outlineLevel="0" collapsed="false">
      <c r="A128" s="18"/>
      <c r="B128" s="10"/>
      <c r="C128" s="19"/>
      <c r="D128" s="10"/>
      <c r="E128" s="10"/>
      <c r="F128" s="10"/>
      <c r="G128" s="10"/>
      <c r="H128" s="10"/>
      <c r="I128" s="10"/>
      <c r="J128" s="10"/>
      <c r="K128" s="10"/>
      <c r="L128" s="10"/>
    </row>
    <row r="129" customFormat="false" ht="15" hidden="false" customHeight="false" outlineLevel="0" collapsed="false">
      <c r="A129" s="18"/>
      <c r="B129" s="10"/>
      <c r="C129" s="19"/>
      <c r="D129" s="10"/>
      <c r="E129" s="10"/>
      <c r="F129" s="10"/>
      <c r="G129" s="10"/>
      <c r="H129" s="10"/>
      <c r="I129" s="10"/>
      <c r="J129" s="10"/>
      <c r="K129" s="10"/>
      <c r="L129" s="10"/>
    </row>
    <row r="130" customFormat="false" ht="15" hidden="false" customHeight="false" outlineLevel="0" collapsed="false">
      <c r="A130" s="18"/>
      <c r="B130" s="10"/>
      <c r="C130" s="19"/>
      <c r="D130" s="10"/>
      <c r="E130" s="10"/>
      <c r="F130" s="10"/>
      <c r="G130" s="10"/>
      <c r="H130" s="10"/>
      <c r="I130" s="10"/>
      <c r="J130" s="10"/>
      <c r="K130" s="10"/>
      <c r="L130" s="10"/>
    </row>
    <row r="131" customFormat="false" ht="15" hidden="false" customHeight="false" outlineLevel="0" collapsed="false">
      <c r="A131" s="18"/>
      <c r="B131" s="10"/>
      <c r="C131" s="19"/>
      <c r="D131" s="10"/>
      <c r="E131" s="10"/>
      <c r="F131" s="10"/>
      <c r="G131" s="10"/>
      <c r="H131" s="10"/>
      <c r="I131" s="10"/>
      <c r="J131" s="10"/>
      <c r="K131" s="10"/>
      <c r="L131" s="10"/>
    </row>
    <row r="132" customFormat="false" ht="15" hidden="false" customHeight="false" outlineLevel="0" collapsed="false">
      <c r="A132" s="18"/>
      <c r="B132" s="10"/>
      <c r="C132" s="19"/>
      <c r="D132" s="10"/>
      <c r="E132" s="10"/>
      <c r="F132" s="10"/>
      <c r="G132" s="10"/>
      <c r="H132" s="10"/>
      <c r="I132" s="10"/>
      <c r="J132" s="10"/>
      <c r="K132" s="10"/>
      <c r="L132" s="10"/>
    </row>
    <row r="133" customFormat="false" ht="15" hidden="false" customHeight="false" outlineLevel="0" collapsed="false">
      <c r="A133" s="18"/>
      <c r="B133" s="10"/>
      <c r="C133" s="19"/>
      <c r="D133" s="10"/>
      <c r="E133" s="10"/>
      <c r="F133" s="10"/>
      <c r="G133" s="10"/>
      <c r="H133" s="10"/>
      <c r="I133" s="10"/>
      <c r="J133" s="10"/>
      <c r="K133" s="10"/>
      <c r="L133" s="10"/>
    </row>
    <row r="134" customFormat="false" ht="15" hidden="false" customHeight="false" outlineLevel="0" collapsed="false">
      <c r="A134" s="18"/>
      <c r="B134" s="10"/>
      <c r="C134" s="19"/>
      <c r="D134" s="10"/>
      <c r="E134" s="10"/>
      <c r="F134" s="10"/>
      <c r="G134" s="10"/>
      <c r="H134" s="10"/>
      <c r="I134" s="10"/>
      <c r="J134" s="10"/>
      <c r="K134" s="10"/>
      <c r="L134" s="10"/>
    </row>
    <row r="135" customFormat="false" ht="15" hidden="false" customHeight="false" outlineLevel="0" collapsed="false">
      <c r="A135" s="18"/>
      <c r="B135" s="10"/>
      <c r="C135" s="19"/>
      <c r="D135" s="10"/>
      <c r="E135" s="10"/>
      <c r="F135" s="10"/>
      <c r="G135" s="10"/>
      <c r="H135" s="10"/>
      <c r="I135" s="10"/>
      <c r="J135" s="10"/>
      <c r="K135" s="10"/>
      <c r="L135" s="10"/>
    </row>
    <row r="136" customFormat="false" ht="15" hidden="false" customHeight="false" outlineLevel="0" collapsed="false">
      <c r="A136" s="18"/>
      <c r="B136" s="10"/>
      <c r="C136" s="19"/>
      <c r="D136" s="10"/>
      <c r="E136" s="10"/>
      <c r="F136" s="10"/>
      <c r="G136" s="10"/>
      <c r="H136" s="10"/>
      <c r="I136" s="10"/>
      <c r="J136" s="10"/>
      <c r="K136" s="10"/>
      <c r="L136" s="10"/>
    </row>
    <row r="137" customFormat="false" ht="15" hidden="false" customHeight="false" outlineLevel="0" collapsed="false">
      <c r="A137" s="18"/>
      <c r="B137" s="10"/>
      <c r="C137" s="19"/>
      <c r="D137" s="10"/>
      <c r="E137" s="10"/>
      <c r="F137" s="10"/>
      <c r="G137" s="10"/>
      <c r="H137" s="10"/>
      <c r="I137" s="10"/>
      <c r="J137" s="10"/>
      <c r="K137" s="10"/>
      <c r="L137" s="10"/>
    </row>
    <row r="138" customFormat="false" ht="15" hidden="false" customHeight="false" outlineLevel="0" collapsed="false">
      <c r="A138" s="18"/>
      <c r="B138" s="10"/>
      <c r="C138" s="19"/>
      <c r="D138" s="10"/>
      <c r="E138" s="10"/>
      <c r="F138" s="10"/>
      <c r="G138" s="10"/>
      <c r="H138" s="10"/>
      <c r="I138" s="10"/>
      <c r="J138" s="10"/>
      <c r="K138" s="10"/>
      <c r="L138" s="10"/>
    </row>
    <row r="139" customFormat="false" ht="15" hidden="false" customHeight="false" outlineLevel="0" collapsed="false">
      <c r="A139" s="18"/>
      <c r="B139" s="10"/>
      <c r="C139" s="19"/>
      <c r="D139" s="10"/>
      <c r="E139" s="10"/>
      <c r="F139" s="10"/>
      <c r="G139" s="10"/>
      <c r="H139" s="10"/>
      <c r="I139" s="10"/>
      <c r="J139" s="10"/>
      <c r="K139" s="10"/>
      <c r="L139" s="10"/>
    </row>
    <row r="140" customFormat="false" ht="15" hidden="false" customHeight="false" outlineLevel="0" collapsed="false">
      <c r="A140" s="18"/>
      <c r="B140" s="10"/>
      <c r="C140" s="19"/>
      <c r="D140" s="10"/>
      <c r="E140" s="10"/>
      <c r="F140" s="10"/>
      <c r="G140" s="10"/>
      <c r="H140" s="10"/>
      <c r="I140" s="10"/>
      <c r="J140" s="10"/>
      <c r="K140" s="10"/>
      <c r="L140" s="10"/>
    </row>
    <row r="141" customFormat="false" ht="15" hidden="false" customHeight="false" outlineLevel="0" collapsed="false">
      <c r="A141" s="18"/>
      <c r="B141" s="10"/>
      <c r="C141" s="19"/>
      <c r="D141" s="10"/>
      <c r="E141" s="10"/>
      <c r="F141" s="10"/>
      <c r="G141" s="10"/>
      <c r="H141" s="10"/>
      <c r="I141" s="10"/>
      <c r="J141" s="10"/>
      <c r="K141" s="10"/>
      <c r="L141" s="10"/>
    </row>
    <row r="142" customFormat="false" ht="15" hidden="false" customHeight="false" outlineLevel="0" collapsed="false">
      <c r="A142" s="18"/>
      <c r="B142" s="10"/>
      <c r="C142" s="19"/>
      <c r="D142" s="10"/>
      <c r="E142" s="10"/>
      <c r="F142" s="10"/>
      <c r="G142" s="10"/>
      <c r="H142" s="10"/>
      <c r="I142" s="10"/>
      <c r="J142" s="10"/>
      <c r="K142" s="10"/>
      <c r="L142" s="10"/>
    </row>
    <row r="143" customFormat="false" ht="15" hidden="false" customHeight="false" outlineLevel="0" collapsed="false">
      <c r="A143" s="18"/>
      <c r="B143" s="10"/>
      <c r="C143" s="19"/>
      <c r="D143" s="10"/>
      <c r="E143" s="10"/>
      <c r="F143" s="10"/>
      <c r="G143" s="10"/>
      <c r="H143" s="10"/>
      <c r="I143" s="10"/>
      <c r="J143" s="10"/>
      <c r="K143" s="10"/>
      <c r="L143" s="10"/>
    </row>
    <row r="144" customFormat="false" ht="15" hidden="false" customHeight="false" outlineLevel="0" collapsed="false">
      <c r="A144" s="18"/>
      <c r="B144" s="10"/>
      <c r="C144" s="19"/>
      <c r="D144" s="10"/>
      <c r="E144" s="10"/>
      <c r="F144" s="10"/>
      <c r="G144" s="10"/>
      <c r="H144" s="10"/>
      <c r="I144" s="10"/>
      <c r="J144" s="10"/>
      <c r="K144" s="10"/>
      <c r="L144" s="10"/>
    </row>
    <row r="145" customFormat="false" ht="15" hidden="false" customHeight="false" outlineLevel="0" collapsed="false">
      <c r="A145" s="18"/>
      <c r="B145" s="10"/>
      <c r="C145" s="19"/>
      <c r="D145" s="10"/>
      <c r="E145" s="10"/>
      <c r="F145" s="10"/>
      <c r="G145" s="10"/>
      <c r="H145" s="10"/>
      <c r="I145" s="10"/>
      <c r="J145" s="10"/>
      <c r="K145" s="10"/>
      <c r="L145" s="10"/>
    </row>
    <row r="146" customFormat="false" ht="15" hidden="false" customHeight="false" outlineLevel="0" collapsed="false">
      <c r="A146" s="18"/>
      <c r="B146" s="10"/>
      <c r="C146" s="19"/>
      <c r="D146" s="10"/>
      <c r="E146" s="10"/>
      <c r="F146" s="10"/>
      <c r="G146" s="10"/>
      <c r="H146" s="10"/>
      <c r="I146" s="10"/>
      <c r="J146" s="10"/>
      <c r="K146" s="10"/>
      <c r="L146" s="10"/>
    </row>
    <row r="147" customFormat="false" ht="15" hidden="false" customHeight="false" outlineLevel="0" collapsed="false">
      <c r="A147" s="18"/>
      <c r="B147" s="10"/>
      <c r="C147" s="19"/>
      <c r="D147" s="10"/>
      <c r="E147" s="10"/>
      <c r="F147" s="10"/>
      <c r="G147" s="10"/>
      <c r="H147" s="10"/>
      <c r="I147" s="10"/>
      <c r="J147" s="10"/>
      <c r="K147" s="10"/>
      <c r="L147" s="10"/>
    </row>
    <row r="148" customFormat="false" ht="15" hidden="false" customHeight="false" outlineLevel="0" collapsed="false">
      <c r="A148" s="18"/>
      <c r="B148" s="10"/>
      <c r="C148" s="19"/>
      <c r="D148" s="10"/>
      <c r="E148" s="10"/>
      <c r="F148" s="10"/>
      <c r="G148" s="10"/>
      <c r="H148" s="10"/>
      <c r="I148" s="10"/>
      <c r="J148" s="10"/>
      <c r="K148" s="10"/>
      <c r="L148" s="10"/>
    </row>
    <row r="149" customFormat="false" ht="15" hidden="false" customHeight="false" outlineLevel="0" collapsed="false">
      <c r="A149" s="18"/>
      <c r="B149" s="10"/>
      <c r="C149" s="19"/>
      <c r="D149" s="10"/>
      <c r="E149" s="10"/>
      <c r="F149" s="10"/>
      <c r="G149" s="10"/>
      <c r="H149" s="10"/>
      <c r="I149" s="10"/>
      <c r="J149" s="10"/>
      <c r="K149" s="10"/>
      <c r="L149" s="10"/>
    </row>
    <row r="150" customFormat="false" ht="15" hidden="false" customHeight="false" outlineLevel="0" collapsed="false">
      <c r="A150" s="18"/>
      <c r="B150" s="10"/>
      <c r="C150" s="19"/>
      <c r="D150" s="10"/>
      <c r="E150" s="10"/>
      <c r="F150" s="10"/>
      <c r="G150" s="10"/>
      <c r="H150" s="10"/>
      <c r="I150" s="10"/>
      <c r="J150" s="10"/>
      <c r="K150" s="10"/>
      <c r="L150" s="10"/>
    </row>
    <row r="151" customFormat="false" ht="15" hidden="false" customHeight="false" outlineLevel="0" collapsed="false">
      <c r="A151" s="18"/>
      <c r="B151" s="10"/>
      <c r="C151" s="19"/>
      <c r="D151" s="10"/>
      <c r="E151" s="10"/>
      <c r="F151" s="10"/>
      <c r="G151" s="10"/>
      <c r="H151" s="10"/>
      <c r="I151" s="10"/>
      <c r="J151" s="10"/>
      <c r="K151" s="10"/>
      <c r="L151" s="10"/>
    </row>
    <row r="152" customFormat="false" ht="15" hidden="false" customHeight="false" outlineLevel="0" collapsed="false">
      <c r="A152" s="18"/>
      <c r="B152" s="10"/>
      <c r="C152" s="19"/>
      <c r="D152" s="10"/>
      <c r="E152" s="10"/>
      <c r="F152" s="10"/>
      <c r="G152" s="10"/>
      <c r="H152" s="10"/>
      <c r="I152" s="10"/>
      <c r="J152" s="10"/>
      <c r="K152" s="10"/>
      <c r="L152" s="10"/>
    </row>
    <row r="153" customFormat="false" ht="15" hidden="false" customHeight="false" outlineLevel="0" collapsed="false">
      <c r="A153" s="18"/>
      <c r="B153" s="10"/>
      <c r="C153" s="19"/>
      <c r="D153" s="10"/>
      <c r="E153" s="10"/>
      <c r="F153" s="10"/>
      <c r="G153" s="10"/>
      <c r="H153" s="10"/>
      <c r="I153" s="10"/>
      <c r="J153" s="10"/>
      <c r="K153" s="10"/>
      <c r="L153" s="10"/>
    </row>
    <row r="154" customFormat="false" ht="15" hidden="false" customHeight="false" outlineLevel="0" collapsed="false">
      <c r="A154" s="18"/>
      <c r="B154" s="10"/>
      <c r="C154" s="19"/>
      <c r="D154" s="10"/>
      <c r="E154" s="10"/>
      <c r="F154" s="10"/>
      <c r="G154" s="10"/>
      <c r="H154" s="10"/>
      <c r="I154" s="10"/>
      <c r="J154" s="10"/>
      <c r="K154" s="10"/>
      <c r="L154" s="10"/>
    </row>
    <row r="155" customFormat="false" ht="15" hidden="false" customHeight="false" outlineLevel="0" collapsed="false">
      <c r="A155" s="18"/>
      <c r="B155" s="10"/>
      <c r="C155" s="19"/>
      <c r="D155" s="10"/>
      <c r="E155" s="10"/>
      <c r="F155" s="10"/>
      <c r="G155" s="10"/>
      <c r="H155" s="10"/>
      <c r="I155" s="10"/>
      <c r="J155" s="10"/>
      <c r="K155" s="10"/>
      <c r="L155" s="10"/>
    </row>
    <row r="156" customFormat="false" ht="15" hidden="false" customHeight="false" outlineLevel="0" collapsed="false">
      <c r="A156" s="18"/>
      <c r="B156" s="10"/>
      <c r="C156" s="19"/>
      <c r="D156" s="10"/>
      <c r="E156" s="10"/>
      <c r="F156" s="10"/>
      <c r="G156" s="10"/>
      <c r="H156" s="10"/>
      <c r="I156" s="10"/>
      <c r="J156" s="10"/>
      <c r="K156" s="10"/>
      <c r="L156" s="10"/>
    </row>
    <row r="157" customFormat="false" ht="15" hidden="false" customHeight="false" outlineLevel="0" collapsed="false">
      <c r="A157" s="18"/>
      <c r="B157" s="10"/>
      <c r="C157" s="19"/>
      <c r="D157" s="10"/>
      <c r="E157" s="10"/>
      <c r="F157" s="10"/>
      <c r="G157" s="10"/>
      <c r="H157" s="10"/>
      <c r="I157" s="10"/>
      <c r="J157" s="10"/>
      <c r="K157" s="10"/>
      <c r="L157" s="10"/>
    </row>
    <row r="158" customFormat="false" ht="15" hidden="false" customHeight="false" outlineLevel="0" collapsed="false">
      <c r="A158" s="18"/>
      <c r="B158" s="10"/>
      <c r="C158" s="19"/>
      <c r="D158" s="10"/>
      <c r="E158" s="10"/>
      <c r="F158" s="10"/>
      <c r="G158" s="10"/>
      <c r="H158" s="10"/>
      <c r="I158" s="10"/>
      <c r="J158" s="10"/>
      <c r="K158" s="10"/>
      <c r="L158" s="10"/>
    </row>
    <row r="159" customFormat="false" ht="15" hidden="false" customHeight="false" outlineLevel="0" collapsed="false">
      <c r="A159" s="18"/>
      <c r="B159" s="10"/>
      <c r="C159" s="19"/>
      <c r="D159" s="10"/>
      <c r="E159" s="10"/>
      <c r="F159" s="10"/>
      <c r="G159" s="10"/>
      <c r="H159" s="10"/>
      <c r="I159" s="10"/>
      <c r="J159" s="10"/>
      <c r="K159" s="10"/>
      <c r="L159" s="10"/>
    </row>
    <row r="160" customFormat="false" ht="15" hidden="false" customHeight="false" outlineLevel="0" collapsed="false">
      <c r="A160" s="18"/>
      <c r="B160" s="10"/>
      <c r="C160" s="19"/>
      <c r="D160" s="10"/>
      <c r="E160" s="10"/>
      <c r="F160" s="10"/>
      <c r="G160" s="10"/>
      <c r="H160" s="10"/>
      <c r="I160" s="10"/>
      <c r="J160" s="10"/>
      <c r="K160" s="10"/>
      <c r="L160" s="10"/>
    </row>
    <row r="161" customFormat="false" ht="15" hidden="false" customHeight="false" outlineLevel="0" collapsed="false">
      <c r="A161" s="18"/>
      <c r="B161" s="10"/>
      <c r="C161" s="19"/>
      <c r="D161" s="10"/>
      <c r="E161" s="10"/>
      <c r="F161" s="10"/>
      <c r="G161" s="10"/>
      <c r="H161" s="10"/>
      <c r="I161" s="10"/>
      <c r="J161" s="10"/>
      <c r="K161" s="10"/>
      <c r="L161" s="10"/>
    </row>
    <row r="162" customFormat="false" ht="15" hidden="false" customHeight="false" outlineLevel="0" collapsed="false">
      <c r="A162" s="18"/>
      <c r="B162" s="10"/>
      <c r="C162" s="19"/>
      <c r="D162" s="10"/>
      <c r="E162" s="10"/>
      <c r="F162" s="10"/>
      <c r="G162" s="10"/>
      <c r="H162" s="10"/>
      <c r="I162" s="10"/>
      <c r="J162" s="10"/>
      <c r="K162" s="10"/>
      <c r="L162" s="10"/>
    </row>
    <row r="163" customFormat="false" ht="15" hidden="false" customHeight="false" outlineLevel="0" collapsed="false">
      <c r="A163" s="18"/>
      <c r="B163" s="10"/>
      <c r="C163" s="19"/>
      <c r="D163" s="10"/>
      <c r="E163" s="10"/>
      <c r="F163" s="10"/>
      <c r="G163" s="10"/>
      <c r="H163" s="10"/>
      <c r="I163" s="10"/>
      <c r="J163" s="10"/>
      <c r="K163" s="10"/>
      <c r="L163" s="10"/>
    </row>
    <row r="164" customFormat="false" ht="15" hidden="false" customHeight="false" outlineLevel="0" collapsed="false">
      <c r="A164" s="18"/>
      <c r="B164" s="10"/>
      <c r="C164" s="19"/>
      <c r="D164" s="10"/>
      <c r="E164" s="10"/>
      <c r="F164" s="10"/>
      <c r="G164" s="10"/>
      <c r="H164" s="10"/>
      <c r="I164" s="10"/>
      <c r="J164" s="10"/>
      <c r="K164" s="10"/>
      <c r="L164" s="10"/>
    </row>
    <row r="165" customFormat="false" ht="15" hidden="false" customHeight="false" outlineLevel="0" collapsed="false">
      <c r="A165" s="18"/>
      <c r="B165" s="10"/>
      <c r="C165" s="19"/>
      <c r="D165" s="10"/>
      <c r="E165" s="10"/>
      <c r="F165" s="10"/>
      <c r="G165" s="10"/>
      <c r="H165" s="10"/>
      <c r="I165" s="10"/>
      <c r="J165" s="10"/>
      <c r="K165" s="10"/>
      <c r="L165" s="10"/>
    </row>
    <row r="166" customFormat="false" ht="15" hidden="false" customHeight="false" outlineLevel="0" collapsed="false">
      <c r="A166" s="18"/>
      <c r="B166" s="10"/>
      <c r="C166" s="19"/>
      <c r="D166" s="10"/>
      <c r="E166" s="10"/>
      <c r="F166" s="10"/>
      <c r="G166" s="10"/>
      <c r="H166" s="10"/>
      <c r="I166" s="10"/>
      <c r="J166" s="10"/>
      <c r="K166" s="10"/>
      <c r="L166" s="10"/>
    </row>
    <row r="167" customFormat="false" ht="15" hidden="false" customHeight="false" outlineLevel="0" collapsed="false">
      <c r="A167" s="18"/>
      <c r="B167" s="10"/>
      <c r="C167" s="19"/>
      <c r="D167" s="10"/>
      <c r="E167" s="10"/>
      <c r="F167" s="10"/>
      <c r="G167" s="10"/>
      <c r="H167" s="10"/>
      <c r="I167" s="10"/>
      <c r="J167" s="10"/>
      <c r="K167" s="10"/>
      <c r="L167" s="10"/>
    </row>
    <row r="168" customFormat="false" ht="15" hidden="false" customHeight="false" outlineLevel="0" collapsed="false">
      <c r="A168" s="18"/>
      <c r="B168" s="10"/>
      <c r="C168" s="19"/>
      <c r="D168" s="10"/>
      <c r="E168" s="10"/>
      <c r="F168" s="10"/>
      <c r="G168" s="10"/>
      <c r="H168" s="10"/>
      <c r="I168" s="10"/>
      <c r="J168" s="10"/>
      <c r="K168" s="10"/>
      <c r="L168" s="10"/>
    </row>
    <row r="169" customFormat="false" ht="15" hidden="false" customHeight="false" outlineLevel="0" collapsed="false">
      <c r="A169" s="18"/>
      <c r="B169" s="10"/>
      <c r="C169" s="19"/>
      <c r="D169" s="10"/>
      <c r="E169" s="10"/>
      <c r="F169" s="10"/>
      <c r="G169" s="10"/>
      <c r="H169" s="10"/>
      <c r="I169" s="10"/>
      <c r="J169" s="10"/>
      <c r="K169" s="10"/>
      <c r="L169" s="10"/>
    </row>
    <row r="170" customFormat="false" ht="15" hidden="false" customHeight="false" outlineLevel="0" collapsed="false">
      <c r="A170" s="18"/>
      <c r="B170" s="10"/>
      <c r="C170" s="19"/>
      <c r="D170" s="10"/>
      <c r="E170" s="10"/>
      <c r="F170" s="10"/>
      <c r="G170" s="10"/>
      <c r="H170" s="10"/>
      <c r="I170" s="10"/>
      <c r="J170" s="10"/>
      <c r="K170" s="10"/>
      <c r="L170" s="10"/>
    </row>
    <row r="171" customFormat="false" ht="15" hidden="false" customHeight="false" outlineLevel="0" collapsed="false">
      <c r="A171" s="18"/>
      <c r="B171" s="10"/>
      <c r="C171" s="19"/>
      <c r="D171" s="10"/>
      <c r="E171" s="10"/>
      <c r="F171" s="10"/>
      <c r="G171" s="10"/>
      <c r="H171" s="10"/>
      <c r="I171" s="10"/>
      <c r="J171" s="10"/>
      <c r="K171" s="10"/>
      <c r="L171" s="10"/>
    </row>
    <row r="172" customFormat="false" ht="15" hidden="false" customHeight="false" outlineLevel="0" collapsed="false">
      <c r="A172" s="18"/>
      <c r="B172" s="10"/>
      <c r="C172" s="19"/>
      <c r="D172" s="10"/>
      <c r="E172" s="10"/>
      <c r="F172" s="10"/>
      <c r="G172" s="10"/>
      <c r="H172" s="10"/>
      <c r="I172" s="10"/>
      <c r="J172" s="10"/>
      <c r="K172" s="10"/>
      <c r="L172" s="10"/>
    </row>
    <row r="173" customFormat="false" ht="15" hidden="false" customHeight="false" outlineLevel="0" collapsed="false">
      <c r="A173" s="18"/>
      <c r="B173" s="10"/>
      <c r="C173" s="19"/>
      <c r="D173" s="10"/>
      <c r="E173" s="10"/>
      <c r="F173" s="10"/>
      <c r="G173" s="10"/>
      <c r="H173" s="10"/>
      <c r="I173" s="10"/>
      <c r="J173" s="10"/>
      <c r="K173" s="10"/>
      <c r="L173" s="10"/>
    </row>
    <row r="174" customFormat="false" ht="15" hidden="false" customHeight="false" outlineLevel="0" collapsed="false">
      <c r="A174" s="18"/>
      <c r="B174" s="10"/>
      <c r="C174" s="19"/>
      <c r="D174" s="10"/>
      <c r="E174" s="10"/>
      <c r="F174" s="10"/>
      <c r="G174" s="10"/>
      <c r="H174" s="10"/>
      <c r="I174" s="10"/>
      <c r="J174" s="10"/>
      <c r="K174" s="10"/>
      <c r="L174" s="10"/>
    </row>
    <row r="175" customFormat="false" ht="15" hidden="false" customHeight="false" outlineLevel="0" collapsed="false">
      <c r="A175" s="18"/>
      <c r="B175" s="10"/>
      <c r="C175" s="19"/>
      <c r="D175" s="10"/>
      <c r="E175" s="10"/>
      <c r="F175" s="10"/>
      <c r="G175" s="10"/>
      <c r="H175" s="10"/>
      <c r="I175" s="10"/>
      <c r="J175" s="10"/>
      <c r="K175" s="10"/>
      <c r="L175" s="10"/>
    </row>
    <row r="176" customFormat="false" ht="15" hidden="false" customHeight="false" outlineLevel="0" collapsed="false">
      <c r="A176" s="18"/>
      <c r="B176" s="10"/>
      <c r="C176" s="19"/>
      <c r="D176" s="10"/>
      <c r="E176" s="10"/>
      <c r="F176" s="10"/>
      <c r="G176" s="10"/>
      <c r="H176" s="10"/>
      <c r="I176" s="10"/>
      <c r="J176" s="10"/>
      <c r="K176" s="10"/>
      <c r="L176" s="10"/>
    </row>
    <row r="177" customFormat="false" ht="15" hidden="false" customHeight="false" outlineLevel="0" collapsed="false">
      <c r="A177" s="18"/>
      <c r="B177" s="10"/>
      <c r="C177" s="19"/>
      <c r="D177" s="10"/>
      <c r="E177" s="10"/>
      <c r="F177" s="10"/>
      <c r="G177" s="10"/>
      <c r="H177" s="10"/>
      <c r="I177" s="10"/>
      <c r="J177" s="10"/>
      <c r="K177" s="10"/>
      <c r="L177" s="10"/>
    </row>
    <row r="178" customFormat="false" ht="15" hidden="false" customHeight="false" outlineLevel="0" collapsed="false">
      <c r="A178" s="18"/>
      <c r="B178" s="10"/>
      <c r="C178" s="19"/>
      <c r="D178" s="10"/>
      <c r="E178" s="10"/>
      <c r="F178" s="10"/>
      <c r="G178" s="10"/>
      <c r="H178" s="10"/>
      <c r="I178" s="10"/>
      <c r="J178" s="10"/>
      <c r="K178" s="10"/>
      <c r="L178" s="10"/>
    </row>
    <row r="179" customFormat="false" ht="15" hidden="false" customHeight="false" outlineLevel="0" collapsed="false">
      <c r="A179" s="18"/>
      <c r="B179" s="10"/>
      <c r="C179" s="19"/>
      <c r="D179" s="10"/>
      <c r="E179" s="10"/>
      <c r="F179" s="10"/>
      <c r="G179" s="10"/>
      <c r="H179" s="10"/>
      <c r="I179" s="10"/>
      <c r="J179" s="10"/>
      <c r="K179" s="10"/>
      <c r="L179" s="10"/>
    </row>
    <row r="180" customFormat="false" ht="15" hidden="false" customHeight="false" outlineLevel="0" collapsed="false">
      <c r="A180" s="18"/>
      <c r="B180" s="10"/>
      <c r="C180" s="19"/>
      <c r="D180" s="10"/>
      <c r="E180" s="10"/>
      <c r="F180" s="10"/>
      <c r="G180" s="10"/>
      <c r="H180" s="10"/>
      <c r="I180" s="10"/>
      <c r="J180" s="10"/>
      <c r="K180" s="10"/>
      <c r="L180" s="10"/>
    </row>
    <row r="181" customFormat="false" ht="15" hidden="false" customHeight="false" outlineLevel="0" collapsed="false">
      <c r="A181" s="18"/>
      <c r="B181" s="10"/>
      <c r="C181" s="19"/>
      <c r="D181" s="10"/>
      <c r="E181" s="10"/>
      <c r="F181" s="10"/>
      <c r="G181" s="10"/>
      <c r="H181" s="10"/>
      <c r="I181" s="10"/>
      <c r="J181" s="10"/>
      <c r="K181" s="10"/>
      <c r="L181" s="10"/>
    </row>
    <row r="182" customFormat="false" ht="15" hidden="false" customHeight="false" outlineLevel="0" collapsed="false">
      <c r="A182" s="18"/>
      <c r="B182" s="10"/>
      <c r="C182" s="19"/>
      <c r="D182" s="10"/>
      <c r="E182" s="10"/>
      <c r="F182" s="10"/>
      <c r="G182" s="10"/>
      <c r="H182" s="10"/>
      <c r="I182" s="10"/>
      <c r="J182" s="10"/>
      <c r="K182" s="10"/>
      <c r="L182" s="10"/>
    </row>
    <row r="183" customFormat="false" ht="15" hidden="false" customHeight="false" outlineLevel="0" collapsed="false">
      <c r="A183" s="18"/>
      <c r="B183" s="10"/>
      <c r="C183" s="19"/>
      <c r="D183" s="10"/>
      <c r="E183" s="10"/>
      <c r="F183" s="10"/>
      <c r="G183" s="10"/>
      <c r="H183" s="10"/>
      <c r="I183" s="10"/>
      <c r="J183" s="10"/>
      <c r="K183" s="10"/>
      <c r="L183" s="10"/>
    </row>
    <row r="184" customFormat="false" ht="15" hidden="false" customHeight="false" outlineLevel="0" collapsed="false">
      <c r="A184" s="18"/>
      <c r="B184" s="10"/>
      <c r="C184" s="19"/>
      <c r="D184" s="10"/>
      <c r="E184" s="10"/>
      <c r="F184" s="10"/>
      <c r="G184" s="10"/>
      <c r="H184" s="10"/>
      <c r="I184" s="10"/>
      <c r="J184" s="10"/>
      <c r="K184" s="10"/>
      <c r="L184" s="10"/>
    </row>
    <row r="185" customFormat="false" ht="15" hidden="false" customHeight="false" outlineLevel="0" collapsed="false">
      <c r="A185" s="18"/>
      <c r="B185" s="10"/>
      <c r="C185" s="19"/>
      <c r="D185" s="10"/>
      <c r="E185" s="10"/>
      <c r="F185" s="10"/>
      <c r="G185" s="10"/>
      <c r="H185" s="10"/>
      <c r="I185" s="10"/>
      <c r="J185" s="10"/>
      <c r="K185" s="10"/>
      <c r="L185" s="10"/>
    </row>
    <row r="186" customFormat="false" ht="15" hidden="false" customHeight="false" outlineLevel="0" collapsed="false">
      <c r="A186" s="18"/>
      <c r="B186" s="10"/>
      <c r="C186" s="19"/>
      <c r="D186" s="10"/>
      <c r="E186" s="10"/>
      <c r="F186" s="10"/>
      <c r="G186" s="10"/>
      <c r="H186" s="10"/>
      <c r="I186" s="10"/>
      <c r="J186" s="10"/>
      <c r="K186" s="10"/>
      <c r="L186" s="10"/>
    </row>
    <row r="187" customFormat="false" ht="15" hidden="false" customHeight="false" outlineLevel="0" collapsed="false">
      <c r="A187" s="18"/>
      <c r="B187" s="10"/>
      <c r="C187" s="19"/>
      <c r="D187" s="10"/>
      <c r="E187" s="10"/>
      <c r="F187" s="10"/>
      <c r="G187" s="10"/>
      <c r="H187" s="10"/>
      <c r="I187" s="10"/>
      <c r="J187" s="10"/>
      <c r="K187" s="10"/>
      <c r="L187" s="10"/>
    </row>
    <row r="188" customFormat="false" ht="15" hidden="false" customHeight="false" outlineLevel="0" collapsed="false">
      <c r="A188" s="18"/>
      <c r="B188" s="10"/>
      <c r="C188" s="19"/>
      <c r="D188" s="10"/>
      <c r="E188" s="10"/>
      <c r="F188" s="10"/>
      <c r="G188" s="10"/>
      <c r="H188" s="10"/>
      <c r="I188" s="10"/>
      <c r="J188" s="10"/>
      <c r="K188" s="10"/>
      <c r="L188" s="10"/>
    </row>
    <row r="189" customFormat="false" ht="15" hidden="false" customHeight="false" outlineLevel="0" collapsed="false">
      <c r="A189" s="18"/>
      <c r="B189" s="10"/>
      <c r="C189" s="19"/>
      <c r="D189" s="10"/>
      <c r="E189" s="10"/>
      <c r="F189" s="10"/>
      <c r="G189" s="10"/>
      <c r="H189" s="10"/>
      <c r="I189" s="10"/>
      <c r="J189" s="10"/>
      <c r="K189" s="10"/>
      <c r="L189" s="10"/>
    </row>
    <row r="190" customFormat="false" ht="15" hidden="false" customHeight="false" outlineLevel="0" collapsed="false">
      <c r="A190" s="18"/>
      <c r="B190" s="10"/>
      <c r="C190" s="19"/>
      <c r="D190" s="10"/>
      <c r="E190" s="10"/>
      <c r="F190" s="10"/>
      <c r="G190" s="10"/>
      <c r="H190" s="10"/>
      <c r="I190" s="10"/>
      <c r="J190" s="10"/>
      <c r="K190" s="10"/>
      <c r="L190" s="10"/>
    </row>
    <row r="191" customFormat="false" ht="15" hidden="false" customHeight="false" outlineLevel="0" collapsed="false">
      <c r="A191" s="18"/>
      <c r="B191" s="10"/>
      <c r="C191" s="19"/>
      <c r="D191" s="10"/>
      <c r="E191" s="10"/>
      <c r="F191" s="10"/>
      <c r="G191" s="10"/>
      <c r="H191" s="10"/>
      <c r="I191" s="10"/>
      <c r="J191" s="10"/>
      <c r="K191" s="10"/>
      <c r="L191" s="10"/>
    </row>
    <row r="192" customFormat="false" ht="15" hidden="false" customHeight="false" outlineLevel="0" collapsed="false">
      <c r="A192" s="18"/>
      <c r="B192" s="10"/>
      <c r="C192" s="19"/>
      <c r="D192" s="10"/>
      <c r="E192" s="10"/>
      <c r="F192" s="10"/>
      <c r="G192" s="10"/>
      <c r="H192" s="10"/>
      <c r="I192" s="10"/>
      <c r="J192" s="10"/>
      <c r="K192" s="10"/>
      <c r="L192" s="10"/>
    </row>
    <row r="193" customFormat="false" ht="15" hidden="false" customHeight="false" outlineLevel="0" collapsed="false">
      <c r="A193" s="18"/>
      <c r="B193" s="10"/>
      <c r="C193" s="19"/>
      <c r="D193" s="10"/>
      <c r="E193" s="10"/>
      <c r="F193" s="10"/>
      <c r="G193" s="10"/>
      <c r="H193" s="10"/>
      <c r="I193" s="10"/>
      <c r="J193" s="10"/>
      <c r="K193" s="10"/>
      <c r="L193" s="10"/>
    </row>
    <row r="194" customFormat="false" ht="15" hidden="false" customHeight="false" outlineLevel="0" collapsed="false">
      <c r="A194" s="18"/>
      <c r="B194" s="10"/>
      <c r="C194" s="19"/>
      <c r="D194" s="10"/>
      <c r="E194" s="10"/>
      <c r="F194" s="10"/>
      <c r="G194" s="10"/>
      <c r="H194" s="10"/>
      <c r="I194" s="10"/>
      <c r="J194" s="10"/>
      <c r="K194" s="10"/>
      <c r="L194" s="10"/>
    </row>
    <row r="195" customFormat="false" ht="15" hidden="false" customHeight="false" outlineLevel="0" collapsed="false">
      <c r="A195" s="18"/>
      <c r="B195" s="10"/>
      <c r="C195" s="19"/>
      <c r="D195" s="10"/>
      <c r="E195" s="10"/>
      <c r="F195" s="10"/>
      <c r="G195" s="10"/>
      <c r="H195" s="10"/>
      <c r="I195" s="10"/>
      <c r="J195" s="10"/>
      <c r="K195" s="10"/>
      <c r="L195" s="10"/>
    </row>
    <row r="196" customFormat="false" ht="15" hidden="false" customHeight="false" outlineLevel="0" collapsed="false">
      <c r="A196" s="18"/>
      <c r="B196" s="10"/>
      <c r="C196" s="19"/>
      <c r="D196" s="10"/>
      <c r="E196" s="10"/>
      <c r="F196" s="10"/>
      <c r="G196" s="10"/>
      <c r="H196" s="10"/>
      <c r="I196" s="10"/>
      <c r="J196" s="10"/>
      <c r="K196" s="10"/>
      <c r="L196" s="10"/>
    </row>
    <row r="197" customFormat="false" ht="15" hidden="false" customHeight="false" outlineLevel="0" collapsed="false">
      <c r="A197" s="18"/>
      <c r="B197" s="10"/>
      <c r="C197" s="19"/>
      <c r="D197" s="10"/>
      <c r="E197" s="10"/>
      <c r="F197" s="10"/>
      <c r="G197" s="10"/>
      <c r="H197" s="10"/>
      <c r="I197" s="10"/>
      <c r="J197" s="10"/>
      <c r="K197" s="10"/>
      <c r="L197" s="10"/>
    </row>
    <row r="198" customFormat="false" ht="15" hidden="false" customHeight="false" outlineLevel="0" collapsed="false">
      <c r="A198" s="18"/>
      <c r="B198" s="10"/>
      <c r="C198" s="19"/>
      <c r="D198" s="10"/>
      <c r="E198" s="10"/>
      <c r="F198" s="10"/>
      <c r="G198" s="10"/>
      <c r="H198" s="10"/>
      <c r="I198" s="10"/>
      <c r="J198" s="10"/>
      <c r="K198" s="10"/>
      <c r="L198" s="10"/>
    </row>
    <row r="199" customFormat="false" ht="15" hidden="false" customHeight="false" outlineLevel="0" collapsed="false">
      <c r="A199" s="18"/>
      <c r="B199" s="10"/>
      <c r="C199" s="19"/>
      <c r="D199" s="10"/>
      <c r="E199" s="10"/>
      <c r="F199" s="10"/>
      <c r="G199" s="10"/>
      <c r="H199" s="10"/>
      <c r="I199" s="10"/>
      <c r="J199" s="10"/>
      <c r="K199" s="10"/>
      <c r="L199" s="10"/>
    </row>
    <row r="200" customFormat="false" ht="15" hidden="false" customHeight="false" outlineLevel="0" collapsed="false">
      <c r="A200" s="18"/>
      <c r="B200" s="10"/>
      <c r="C200" s="19"/>
      <c r="D200" s="10"/>
      <c r="E200" s="10"/>
      <c r="F200" s="10"/>
      <c r="G200" s="10"/>
      <c r="H200" s="10"/>
      <c r="I200" s="10"/>
      <c r="J200" s="10"/>
      <c r="K200" s="10"/>
      <c r="L200" s="10"/>
    </row>
    <row r="201" customFormat="false" ht="15" hidden="false" customHeight="false" outlineLevel="0" collapsed="false">
      <c r="A201" s="18"/>
      <c r="B201" s="10"/>
      <c r="C201" s="19"/>
      <c r="D201" s="10"/>
      <c r="E201" s="10"/>
      <c r="F201" s="10"/>
      <c r="G201" s="10"/>
      <c r="H201" s="10"/>
      <c r="I201" s="10"/>
      <c r="J201" s="10"/>
      <c r="K201" s="10"/>
      <c r="L201" s="10"/>
    </row>
    <row r="202" customFormat="false" ht="15" hidden="false" customHeight="false" outlineLevel="0" collapsed="false">
      <c r="A202" s="18"/>
      <c r="B202" s="10"/>
      <c r="C202" s="19"/>
      <c r="D202" s="10"/>
      <c r="E202" s="10"/>
      <c r="F202" s="10"/>
      <c r="G202" s="10"/>
      <c r="H202" s="10"/>
      <c r="I202" s="10"/>
      <c r="J202" s="10"/>
      <c r="K202" s="10"/>
      <c r="L202" s="10"/>
    </row>
    <row r="203" customFormat="false" ht="15" hidden="false" customHeight="false" outlineLevel="0" collapsed="false">
      <c r="A203" s="18"/>
      <c r="B203" s="10"/>
      <c r="C203" s="19"/>
      <c r="D203" s="10"/>
      <c r="E203" s="10"/>
      <c r="F203" s="10"/>
      <c r="G203" s="10"/>
      <c r="H203" s="10"/>
      <c r="I203" s="10"/>
      <c r="J203" s="10"/>
      <c r="K203" s="10"/>
      <c r="L203" s="10"/>
    </row>
    <row r="204" customFormat="false" ht="15" hidden="false" customHeight="false" outlineLevel="0" collapsed="false">
      <c r="A204" s="18"/>
      <c r="B204" s="10"/>
      <c r="C204" s="19"/>
      <c r="D204" s="10"/>
      <c r="E204" s="10"/>
      <c r="F204" s="10"/>
      <c r="G204" s="10"/>
      <c r="H204" s="10"/>
      <c r="I204" s="10"/>
      <c r="J204" s="10"/>
      <c r="K204" s="10"/>
      <c r="L204" s="10"/>
    </row>
  </sheetData>
  <mergeCells count="2">
    <mergeCell ref="A1:L1"/>
    <mergeCell ref="A2:L2"/>
  </mergeCells>
  <conditionalFormatting sqref="G5:G204">
    <cfRule type="expression" priority="2" aboveAverage="0" equalAverage="0" bottom="0" percent="0" rank="0" text="" dxfId="7">
      <formula>G5="Aprobar"</formula>
    </cfRule>
    <cfRule type="expression" priority="3" aboveAverage="0" equalAverage="0" bottom="0" percent="0" rank="0" text="" dxfId="9">
      <formula>G5="Rechazar"</formula>
    </cfRule>
    <cfRule type="expression" priority="4" aboveAverage="0" equalAverage="0" bottom="0" percent="0" rank="0" text="" dxfId="10">
      <formula>G5="Diferir"</formula>
    </cfRule>
  </conditionalFormatting>
  <dataValidations count="3">
    <dataValidation allowBlank="false" errorStyle="stop" operator="between" showDropDown="false" showErrorMessage="false" showInputMessage="false" sqref="E5:E204" type="list">
      <formula1>"Sí,No"</formula1>
      <formula2>0</formula2>
    </dataValidation>
    <dataValidation allowBlank="false" errorStyle="stop" operator="between" showDropDown="false" showErrorMessage="false" showInputMessage="false" sqref="G5:G204" type="list">
      <formula1>"Aprobar,Rechazar,Diferir,Solicitar más información"</formula1>
      <formula2>0</formula2>
    </dataValidation>
    <dataValidation allowBlank="false" errorStyle="stop" operator="between" showDropDown="false" showErrorMessage="false" showInputMessage="false" sqref="J5:J204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5" min="3" style="1" width="15"/>
    <col collapsed="false" customWidth="true" hidden="false" outlineLevel="0" max="6" min="6" style="1" width="22"/>
    <col collapsed="false" customWidth="true" hidden="false" outlineLevel="0" max="7" min="7" style="1" width="42"/>
    <col collapsed="false" customWidth="true" hidden="false" outlineLevel="0" max="8" min="8" style="1" width="28"/>
    <col collapsed="false" customWidth="true" hidden="false" outlineLevel="0" max="10" min="9" style="1" width="14"/>
    <col collapsed="false" customWidth="true" hidden="false" outlineLevel="0" max="11" min="11" style="1" width="22"/>
    <col collapsed="false" customWidth="true" hidden="false" outlineLevel="0" max="12" min="12" style="1" width="38"/>
    <col collapsed="false" customWidth="true" hidden="false" outlineLevel="0" max="13" min="13" style="1" width="18"/>
  </cols>
  <sheetData>
    <row r="1" customFormat="false" ht="30" hidden="false" customHeight="true" outlineLevel="0" collapsed="false">
      <c r="A1" s="2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3.75" hidden="false" customHeight="true" outlineLevel="0" collapsed="false">
      <c r="A2" s="3" t="s">
        <v>435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42" hidden="false" customHeight="true" outlineLevel="0" collapsed="false">
      <c r="A4" s="14" t="s">
        <v>436</v>
      </c>
      <c r="B4" s="9" t="s">
        <v>437</v>
      </c>
      <c r="C4" s="9" t="s">
        <v>438</v>
      </c>
      <c r="D4" s="9" t="s">
        <v>439</v>
      </c>
      <c r="E4" s="9" t="s">
        <v>440</v>
      </c>
      <c r="F4" s="9" t="s">
        <v>441</v>
      </c>
      <c r="G4" s="9" t="s">
        <v>442</v>
      </c>
      <c r="H4" s="9" t="s">
        <v>443</v>
      </c>
      <c r="I4" s="9" t="s">
        <v>360</v>
      </c>
      <c r="J4" s="9" t="s">
        <v>174</v>
      </c>
      <c r="K4" s="9" t="s">
        <v>444</v>
      </c>
      <c r="L4" s="9" t="s">
        <v>351</v>
      </c>
      <c r="M4" s="9" t="s">
        <v>445</v>
      </c>
    </row>
    <row r="5" customFormat="false" ht="15" hidden="false" customHeight="false" outlineLevel="0" collapsed="false">
      <c r="A5" s="15" t="s">
        <v>378</v>
      </c>
      <c r="B5" s="16" t="s">
        <v>446</v>
      </c>
      <c r="C5" s="16" t="s">
        <v>64</v>
      </c>
      <c r="D5" s="16" t="s">
        <v>447</v>
      </c>
      <c r="E5" s="17" t="n">
        <v>46229</v>
      </c>
      <c r="F5" s="16" t="s">
        <v>448</v>
      </c>
      <c r="G5" s="16" t="s">
        <v>449</v>
      </c>
      <c r="H5" s="16" t="s">
        <v>450</v>
      </c>
      <c r="I5" s="16" t="s">
        <v>376</v>
      </c>
      <c r="J5" s="16" t="s">
        <v>451</v>
      </c>
      <c r="K5" s="16" t="s">
        <v>452</v>
      </c>
      <c r="L5" s="16" t="s">
        <v>453</v>
      </c>
      <c r="M5" s="16" t="s">
        <v>326</v>
      </c>
    </row>
    <row r="6" customFormat="false" ht="15" hidden="false" customHeight="false" outlineLevel="0" collapsed="false">
      <c r="A6" s="18"/>
      <c r="B6" s="10"/>
      <c r="C6" s="10"/>
      <c r="D6" s="10"/>
      <c r="E6" s="19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18"/>
      <c r="B7" s="10"/>
      <c r="C7" s="10"/>
      <c r="D7" s="10"/>
      <c r="E7" s="19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18"/>
      <c r="B8" s="10"/>
      <c r="C8" s="10"/>
      <c r="D8" s="10"/>
      <c r="E8" s="19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18"/>
      <c r="B9" s="10"/>
      <c r="C9" s="10"/>
      <c r="D9" s="10"/>
      <c r="E9" s="19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18"/>
      <c r="B10" s="10"/>
      <c r="C10" s="10"/>
      <c r="D10" s="10"/>
      <c r="E10" s="19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18"/>
      <c r="B11" s="10"/>
      <c r="C11" s="10"/>
      <c r="D11" s="10"/>
      <c r="E11" s="19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18"/>
      <c r="B12" s="10"/>
      <c r="C12" s="10"/>
      <c r="D12" s="10"/>
      <c r="E12" s="19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8"/>
      <c r="B13" s="10"/>
      <c r="C13" s="10"/>
      <c r="D13" s="10"/>
      <c r="E13" s="19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8"/>
      <c r="B14" s="10"/>
      <c r="C14" s="10"/>
      <c r="D14" s="10"/>
      <c r="E14" s="19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18"/>
      <c r="B15" s="10"/>
      <c r="C15" s="10"/>
      <c r="D15" s="10"/>
      <c r="E15" s="19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18"/>
      <c r="B16" s="10"/>
      <c r="C16" s="10"/>
      <c r="D16" s="10"/>
      <c r="E16" s="19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18"/>
      <c r="B17" s="10"/>
      <c r="C17" s="10"/>
      <c r="D17" s="10"/>
      <c r="E17" s="19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8"/>
      <c r="B18" s="10"/>
      <c r="C18" s="10"/>
      <c r="D18" s="10"/>
      <c r="E18" s="19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8"/>
      <c r="B19" s="10"/>
      <c r="C19" s="10"/>
      <c r="D19" s="10"/>
      <c r="E19" s="19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8"/>
      <c r="B20" s="10"/>
      <c r="C20" s="10"/>
      <c r="D20" s="10"/>
      <c r="E20" s="19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8"/>
      <c r="B21" s="10"/>
      <c r="C21" s="10"/>
      <c r="D21" s="10"/>
      <c r="E21" s="19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8"/>
      <c r="B22" s="10"/>
      <c r="C22" s="10"/>
      <c r="D22" s="10"/>
      <c r="E22" s="19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18"/>
      <c r="B23" s="10"/>
      <c r="C23" s="10"/>
      <c r="D23" s="10"/>
      <c r="E23" s="19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18"/>
      <c r="B24" s="10"/>
      <c r="C24" s="10"/>
      <c r="D24" s="10"/>
      <c r="E24" s="19"/>
      <c r="F24" s="10"/>
      <c r="G24" s="10"/>
      <c r="H24" s="10"/>
      <c r="I24" s="10"/>
      <c r="J24" s="10"/>
      <c r="K24" s="10"/>
      <c r="L24" s="10"/>
      <c r="M24" s="10"/>
    </row>
    <row r="25" customFormat="false" ht="15" hidden="false" customHeight="false" outlineLevel="0" collapsed="false">
      <c r="A25" s="18"/>
      <c r="B25" s="10"/>
      <c r="C25" s="10"/>
      <c r="D25" s="10"/>
      <c r="E25" s="19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18"/>
      <c r="B26" s="10"/>
      <c r="C26" s="10"/>
      <c r="D26" s="10"/>
      <c r="E26" s="19"/>
      <c r="F26" s="10"/>
      <c r="G26" s="10"/>
      <c r="H26" s="10"/>
      <c r="I26" s="10"/>
      <c r="J26" s="10"/>
      <c r="K26" s="10"/>
      <c r="L26" s="10"/>
      <c r="M26" s="10"/>
    </row>
    <row r="27" customFormat="false" ht="15" hidden="false" customHeight="false" outlineLevel="0" collapsed="false">
      <c r="A27" s="18"/>
      <c r="B27" s="10"/>
      <c r="C27" s="10"/>
      <c r="D27" s="10"/>
      <c r="E27" s="19"/>
      <c r="F27" s="10"/>
      <c r="G27" s="10"/>
      <c r="H27" s="10"/>
      <c r="I27" s="10"/>
      <c r="J27" s="10"/>
      <c r="K27" s="10"/>
      <c r="L27" s="10"/>
      <c r="M27" s="10"/>
    </row>
    <row r="28" customFormat="false" ht="15" hidden="false" customHeight="false" outlineLevel="0" collapsed="false">
      <c r="A28" s="18"/>
      <c r="B28" s="10"/>
      <c r="C28" s="10"/>
      <c r="D28" s="10"/>
      <c r="E28" s="19"/>
      <c r="F28" s="10"/>
      <c r="G28" s="10"/>
      <c r="H28" s="10"/>
      <c r="I28" s="10"/>
      <c r="J28" s="10"/>
      <c r="K28" s="10"/>
      <c r="L28" s="10"/>
      <c r="M28" s="10"/>
    </row>
    <row r="29" customFormat="false" ht="15" hidden="false" customHeight="false" outlineLevel="0" collapsed="false">
      <c r="A29" s="18"/>
      <c r="B29" s="10"/>
      <c r="C29" s="10"/>
      <c r="D29" s="10"/>
      <c r="E29" s="19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18"/>
      <c r="B30" s="10"/>
      <c r="C30" s="10"/>
      <c r="D30" s="10"/>
      <c r="E30" s="19"/>
      <c r="F30" s="10"/>
      <c r="G30" s="10"/>
      <c r="H30" s="10"/>
      <c r="I30" s="10"/>
      <c r="J30" s="10"/>
      <c r="K30" s="10"/>
      <c r="L30" s="10"/>
      <c r="M30" s="10"/>
    </row>
    <row r="31" customFormat="false" ht="15" hidden="false" customHeight="false" outlineLevel="0" collapsed="false">
      <c r="A31" s="18"/>
      <c r="B31" s="10"/>
      <c r="C31" s="10"/>
      <c r="D31" s="10"/>
      <c r="E31" s="19"/>
      <c r="F31" s="10"/>
      <c r="G31" s="10"/>
      <c r="H31" s="10"/>
      <c r="I31" s="10"/>
      <c r="J31" s="10"/>
      <c r="K31" s="10"/>
      <c r="L31" s="10"/>
      <c r="M31" s="10"/>
    </row>
    <row r="32" customFormat="false" ht="15" hidden="false" customHeight="false" outlineLevel="0" collapsed="false">
      <c r="A32" s="18"/>
      <c r="B32" s="10"/>
      <c r="C32" s="10"/>
      <c r="D32" s="10"/>
      <c r="E32" s="19"/>
      <c r="F32" s="10"/>
      <c r="G32" s="10"/>
      <c r="H32" s="10"/>
      <c r="I32" s="10"/>
      <c r="J32" s="10"/>
      <c r="K32" s="10"/>
      <c r="L32" s="10"/>
      <c r="M32" s="10"/>
    </row>
    <row r="33" customFormat="false" ht="15" hidden="false" customHeight="false" outlineLevel="0" collapsed="false">
      <c r="A33" s="18"/>
      <c r="B33" s="10"/>
      <c r="C33" s="10"/>
      <c r="D33" s="10"/>
      <c r="E33" s="19"/>
      <c r="F33" s="10"/>
      <c r="G33" s="10"/>
      <c r="H33" s="10"/>
      <c r="I33" s="10"/>
      <c r="J33" s="10"/>
      <c r="K33" s="10"/>
      <c r="L33" s="10"/>
      <c r="M33" s="10"/>
    </row>
    <row r="34" customFormat="false" ht="15" hidden="false" customHeight="false" outlineLevel="0" collapsed="false">
      <c r="A34" s="18"/>
      <c r="B34" s="10"/>
      <c r="C34" s="10"/>
      <c r="D34" s="10"/>
      <c r="E34" s="19"/>
      <c r="F34" s="10"/>
      <c r="G34" s="10"/>
      <c r="H34" s="10"/>
      <c r="I34" s="10"/>
      <c r="J34" s="10"/>
      <c r="K34" s="10"/>
      <c r="L34" s="10"/>
      <c r="M34" s="10"/>
    </row>
    <row r="35" customFormat="false" ht="15" hidden="false" customHeight="false" outlineLevel="0" collapsed="false">
      <c r="A35" s="18"/>
      <c r="B35" s="10"/>
      <c r="C35" s="10"/>
      <c r="D35" s="10"/>
      <c r="E35" s="19"/>
      <c r="F35" s="10"/>
      <c r="G35" s="10"/>
      <c r="H35" s="10"/>
      <c r="I35" s="10"/>
      <c r="J35" s="10"/>
      <c r="K35" s="10"/>
      <c r="L35" s="10"/>
      <c r="M35" s="10"/>
    </row>
    <row r="36" customFormat="false" ht="15" hidden="false" customHeight="false" outlineLevel="0" collapsed="false">
      <c r="A36" s="18"/>
      <c r="B36" s="10"/>
      <c r="C36" s="10"/>
      <c r="D36" s="10"/>
      <c r="E36" s="19"/>
      <c r="F36" s="10"/>
      <c r="G36" s="10"/>
      <c r="H36" s="10"/>
      <c r="I36" s="10"/>
      <c r="J36" s="10"/>
      <c r="K36" s="10"/>
      <c r="L36" s="10"/>
      <c r="M36" s="10"/>
    </row>
    <row r="37" customFormat="false" ht="15" hidden="false" customHeight="false" outlineLevel="0" collapsed="false">
      <c r="A37" s="18"/>
      <c r="B37" s="10"/>
      <c r="C37" s="10"/>
      <c r="D37" s="10"/>
      <c r="E37" s="19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false" outlineLevel="0" collapsed="false">
      <c r="A38" s="18"/>
      <c r="B38" s="10"/>
      <c r="C38" s="10"/>
      <c r="D38" s="10"/>
      <c r="E38" s="19"/>
      <c r="F38" s="10"/>
      <c r="G38" s="10"/>
      <c r="H38" s="10"/>
      <c r="I38" s="10"/>
      <c r="J38" s="10"/>
      <c r="K38" s="10"/>
      <c r="L38" s="10"/>
      <c r="M38" s="10"/>
    </row>
    <row r="39" customFormat="false" ht="15" hidden="false" customHeight="false" outlineLevel="0" collapsed="false">
      <c r="A39" s="18"/>
      <c r="B39" s="10"/>
      <c r="C39" s="10"/>
      <c r="D39" s="10"/>
      <c r="E39" s="19"/>
      <c r="F39" s="10"/>
      <c r="G39" s="10"/>
      <c r="H39" s="10"/>
      <c r="I39" s="10"/>
      <c r="J39" s="10"/>
      <c r="K39" s="10"/>
      <c r="L39" s="10"/>
      <c r="M39" s="10"/>
    </row>
    <row r="40" customFormat="false" ht="15" hidden="false" customHeight="false" outlineLevel="0" collapsed="false">
      <c r="A40" s="18"/>
      <c r="B40" s="10"/>
      <c r="C40" s="10"/>
      <c r="D40" s="10"/>
      <c r="E40" s="19"/>
      <c r="F40" s="10"/>
      <c r="G40" s="10"/>
      <c r="H40" s="10"/>
      <c r="I40" s="10"/>
      <c r="J40" s="10"/>
      <c r="K40" s="10"/>
      <c r="L40" s="10"/>
      <c r="M40" s="10"/>
    </row>
    <row r="41" customFormat="false" ht="15" hidden="false" customHeight="false" outlineLevel="0" collapsed="false">
      <c r="A41" s="18"/>
      <c r="B41" s="10"/>
      <c r="C41" s="10"/>
      <c r="D41" s="10"/>
      <c r="E41" s="19"/>
      <c r="F41" s="10"/>
      <c r="G41" s="10"/>
      <c r="H41" s="10"/>
      <c r="I41" s="10"/>
      <c r="J41" s="10"/>
      <c r="K41" s="10"/>
      <c r="L41" s="10"/>
      <c r="M41" s="10"/>
    </row>
    <row r="42" customFormat="false" ht="15" hidden="false" customHeight="false" outlineLevel="0" collapsed="false">
      <c r="A42" s="18"/>
      <c r="B42" s="10"/>
      <c r="C42" s="10"/>
      <c r="D42" s="10"/>
      <c r="E42" s="19"/>
      <c r="F42" s="10"/>
      <c r="G42" s="10"/>
      <c r="H42" s="10"/>
      <c r="I42" s="10"/>
      <c r="J42" s="10"/>
      <c r="K42" s="10"/>
      <c r="L42" s="10"/>
      <c r="M42" s="10"/>
    </row>
    <row r="43" customFormat="false" ht="15" hidden="false" customHeight="false" outlineLevel="0" collapsed="false">
      <c r="A43" s="18"/>
      <c r="B43" s="10"/>
      <c r="C43" s="10"/>
      <c r="D43" s="10"/>
      <c r="E43" s="19"/>
      <c r="F43" s="10"/>
      <c r="G43" s="10"/>
      <c r="H43" s="10"/>
      <c r="I43" s="10"/>
      <c r="J43" s="10"/>
      <c r="K43" s="10"/>
      <c r="L43" s="10"/>
      <c r="M43" s="10"/>
    </row>
    <row r="44" customFormat="false" ht="15" hidden="false" customHeight="false" outlineLevel="0" collapsed="false">
      <c r="A44" s="18"/>
      <c r="B44" s="10"/>
      <c r="C44" s="10"/>
      <c r="D44" s="10"/>
      <c r="E44" s="19"/>
      <c r="F44" s="10"/>
      <c r="G44" s="10"/>
      <c r="H44" s="10"/>
      <c r="I44" s="10"/>
      <c r="J44" s="10"/>
      <c r="K44" s="10"/>
      <c r="L44" s="10"/>
      <c r="M44" s="10"/>
    </row>
    <row r="45" customFormat="false" ht="15" hidden="false" customHeight="false" outlineLevel="0" collapsed="false">
      <c r="A45" s="18"/>
      <c r="B45" s="10"/>
      <c r="C45" s="10"/>
      <c r="D45" s="10"/>
      <c r="E45" s="19"/>
      <c r="F45" s="10"/>
      <c r="G45" s="10"/>
      <c r="H45" s="10"/>
      <c r="I45" s="10"/>
      <c r="J45" s="10"/>
      <c r="K45" s="10"/>
      <c r="L45" s="10"/>
      <c r="M45" s="10"/>
    </row>
    <row r="46" customFormat="false" ht="15" hidden="false" customHeight="false" outlineLevel="0" collapsed="false">
      <c r="A46" s="18"/>
      <c r="B46" s="10"/>
      <c r="C46" s="10"/>
      <c r="D46" s="10"/>
      <c r="E46" s="19"/>
      <c r="F46" s="10"/>
      <c r="G46" s="10"/>
      <c r="H46" s="10"/>
      <c r="I46" s="10"/>
      <c r="J46" s="10"/>
      <c r="K46" s="10"/>
      <c r="L46" s="10"/>
      <c r="M46" s="10"/>
    </row>
    <row r="47" customFormat="false" ht="15" hidden="false" customHeight="false" outlineLevel="0" collapsed="false">
      <c r="A47" s="18"/>
      <c r="B47" s="10"/>
      <c r="C47" s="10"/>
      <c r="D47" s="10"/>
      <c r="E47" s="19"/>
      <c r="F47" s="10"/>
      <c r="G47" s="10"/>
      <c r="H47" s="10"/>
      <c r="I47" s="10"/>
      <c r="J47" s="10"/>
      <c r="K47" s="10"/>
      <c r="L47" s="10"/>
      <c r="M47" s="10"/>
    </row>
    <row r="48" customFormat="false" ht="15" hidden="false" customHeight="false" outlineLevel="0" collapsed="false">
      <c r="A48" s="18"/>
      <c r="B48" s="10"/>
      <c r="C48" s="10"/>
      <c r="D48" s="10"/>
      <c r="E48" s="19"/>
      <c r="F48" s="10"/>
      <c r="G48" s="10"/>
      <c r="H48" s="10"/>
      <c r="I48" s="10"/>
      <c r="J48" s="10"/>
      <c r="K48" s="10"/>
      <c r="L48" s="10"/>
      <c r="M48" s="10"/>
    </row>
    <row r="49" customFormat="false" ht="15" hidden="false" customHeight="false" outlineLevel="0" collapsed="false">
      <c r="A49" s="18"/>
      <c r="B49" s="10"/>
      <c r="C49" s="10"/>
      <c r="D49" s="10"/>
      <c r="E49" s="19"/>
      <c r="F49" s="10"/>
      <c r="G49" s="10"/>
      <c r="H49" s="10"/>
      <c r="I49" s="10"/>
      <c r="J49" s="10"/>
      <c r="K49" s="10"/>
      <c r="L49" s="10"/>
      <c r="M49" s="10"/>
    </row>
    <row r="50" customFormat="false" ht="15" hidden="false" customHeight="false" outlineLevel="0" collapsed="false">
      <c r="A50" s="18"/>
      <c r="B50" s="10"/>
      <c r="C50" s="10"/>
      <c r="D50" s="10"/>
      <c r="E50" s="19"/>
      <c r="F50" s="10"/>
      <c r="G50" s="10"/>
      <c r="H50" s="10"/>
      <c r="I50" s="10"/>
      <c r="J50" s="10"/>
      <c r="K50" s="10"/>
      <c r="L50" s="10"/>
      <c r="M50" s="10"/>
    </row>
    <row r="51" customFormat="false" ht="15" hidden="false" customHeight="false" outlineLevel="0" collapsed="false">
      <c r="A51" s="18"/>
      <c r="B51" s="10"/>
      <c r="C51" s="10"/>
      <c r="D51" s="10"/>
      <c r="E51" s="19"/>
      <c r="F51" s="10"/>
      <c r="G51" s="10"/>
      <c r="H51" s="10"/>
      <c r="I51" s="10"/>
      <c r="J51" s="10"/>
      <c r="K51" s="10"/>
      <c r="L51" s="10"/>
      <c r="M51" s="10"/>
    </row>
    <row r="52" customFormat="false" ht="15" hidden="false" customHeight="false" outlineLevel="0" collapsed="false">
      <c r="A52" s="18"/>
      <c r="B52" s="10"/>
      <c r="C52" s="10"/>
      <c r="D52" s="10"/>
      <c r="E52" s="19"/>
      <c r="F52" s="10"/>
      <c r="G52" s="10"/>
      <c r="H52" s="10"/>
      <c r="I52" s="10"/>
      <c r="J52" s="10"/>
      <c r="K52" s="10"/>
      <c r="L52" s="10"/>
      <c r="M52" s="10"/>
    </row>
    <row r="53" customFormat="false" ht="15" hidden="false" customHeight="false" outlineLevel="0" collapsed="false">
      <c r="A53" s="18"/>
      <c r="B53" s="10"/>
      <c r="C53" s="10"/>
      <c r="D53" s="10"/>
      <c r="E53" s="19"/>
      <c r="F53" s="10"/>
      <c r="G53" s="10"/>
      <c r="H53" s="10"/>
      <c r="I53" s="10"/>
      <c r="J53" s="10"/>
      <c r="K53" s="10"/>
      <c r="L53" s="10"/>
      <c r="M53" s="10"/>
    </row>
    <row r="54" customFormat="false" ht="15" hidden="false" customHeight="false" outlineLevel="0" collapsed="false">
      <c r="A54" s="18"/>
      <c r="B54" s="10"/>
      <c r="C54" s="10"/>
      <c r="D54" s="10"/>
      <c r="E54" s="19"/>
      <c r="F54" s="10"/>
      <c r="G54" s="10"/>
      <c r="H54" s="10"/>
      <c r="I54" s="10"/>
      <c r="J54" s="10"/>
      <c r="K54" s="10"/>
      <c r="L54" s="10"/>
      <c r="M54" s="10"/>
    </row>
    <row r="55" customFormat="false" ht="15" hidden="false" customHeight="false" outlineLevel="0" collapsed="false">
      <c r="A55" s="18"/>
      <c r="B55" s="10"/>
      <c r="C55" s="10"/>
      <c r="D55" s="10"/>
      <c r="E55" s="19"/>
      <c r="F55" s="10"/>
      <c r="G55" s="10"/>
      <c r="H55" s="10"/>
      <c r="I55" s="10"/>
      <c r="J55" s="10"/>
      <c r="K55" s="10"/>
      <c r="L55" s="10"/>
      <c r="M55" s="10"/>
    </row>
    <row r="56" customFormat="false" ht="15" hidden="false" customHeight="false" outlineLevel="0" collapsed="false">
      <c r="A56" s="18"/>
      <c r="B56" s="10"/>
      <c r="C56" s="10"/>
      <c r="D56" s="10"/>
      <c r="E56" s="19"/>
      <c r="F56" s="10"/>
      <c r="G56" s="10"/>
      <c r="H56" s="10"/>
      <c r="I56" s="10"/>
      <c r="J56" s="10"/>
      <c r="K56" s="10"/>
      <c r="L56" s="10"/>
      <c r="M56" s="10"/>
    </row>
    <row r="57" customFormat="false" ht="15" hidden="false" customHeight="false" outlineLevel="0" collapsed="false">
      <c r="A57" s="18"/>
      <c r="B57" s="10"/>
      <c r="C57" s="10"/>
      <c r="D57" s="10"/>
      <c r="E57" s="19"/>
      <c r="F57" s="10"/>
      <c r="G57" s="10"/>
      <c r="H57" s="10"/>
      <c r="I57" s="10"/>
      <c r="J57" s="10"/>
      <c r="K57" s="10"/>
      <c r="L57" s="10"/>
      <c r="M57" s="10"/>
    </row>
    <row r="58" customFormat="false" ht="15" hidden="false" customHeight="false" outlineLevel="0" collapsed="false">
      <c r="A58" s="18"/>
      <c r="B58" s="10"/>
      <c r="C58" s="10"/>
      <c r="D58" s="10"/>
      <c r="E58" s="19"/>
      <c r="F58" s="10"/>
      <c r="G58" s="10"/>
      <c r="H58" s="10"/>
      <c r="I58" s="10"/>
      <c r="J58" s="10"/>
      <c r="K58" s="10"/>
      <c r="L58" s="10"/>
      <c r="M58" s="10"/>
    </row>
    <row r="59" customFormat="false" ht="15" hidden="false" customHeight="false" outlineLevel="0" collapsed="false">
      <c r="A59" s="18"/>
      <c r="B59" s="10"/>
      <c r="C59" s="10"/>
      <c r="D59" s="10"/>
      <c r="E59" s="19"/>
      <c r="F59" s="10"/>
      <c r="G59" s="10"/>
      <c r="H59" s="10"/>
      <c r="I59" s="10"/>
      <c r="J59" s="10"/>
      <c r="K59" s="10"/>
      <c r="L59" s="10"/>
      <c r="M59" s="10"/>
    </row>
    <row r="60" customFormat="false" ht="15" hidden="false" customHeight="false" outlineLevel="0" collapsed="false">
      <c r="A60" s="18"/>
      <c r="B60" s="10"/>
      <c r="C60" s="10"/>
      <c r="D60" s="10"/>
      <c r="E60" s="19"/>
      <c r="F60" s="10"/>
      <c r="G60" s="10"/>
      <c r="H60" s="10"/>
      <c r="I60" s="10"/>
      <c r="J60" s="10"/>
      <c r="K60" s="10"/>
      <c r="L60" s="10"/>
      <c r="M60" s="10"/>
    </row>
    <row r="61" customFormat="false" ht="15" hidden="false" customHeight="false" outlineLevel="0" collapsed="false">
      <c r="A61" s="18"/>
      <c r="B61" s="10"/>
      <c r="C61" s="10"/>
      <c r="D61" s="10"/>
      <c r="E61" s="19"/>
      <c r="F61" s="10"/>
      <c r="G61" s="10"/>
      <c r="H61" s="10"/>
      <c r="I61" s="10"/>
      <c r="J61" s="10"/>
      <c r="K61" s="10"/>
      <c r="L61" s="10"/>
      <c r="M61" s="10"/>
    </row>
    <row r="62" customFormat="false" ht="15" hidden="false" customHeight="false" outlineLevel="0" collapsed="false">
      <c r="A62" s="18"/>
      <c r="B62" s="10"/>
      <c r="C62" s="10"/>
      <c r="D62" s="10"/>
      <c r="E62" s="19"/>
      <c r="F62" s="10"/>
      <c r="G62" s="10"/>
      <c r="H62" s="10"/>
      <c r="I62" s="10"/>
      <c r="J62" s="10"/>
      <c r="K62" s="10"/>
      <c r="L62" s="10"/>
      <c r="M62" s="10"/>
    </row>
    <row r="63" customFormat="false" ht="15" hidden="false" customHeight="false" outlineLevel="0" collapsed="false">
      <c r="A63" s="18"/>
      <c r="B63" s="10"/>
      <c r="C63" s="10"/>
      <c r="D63" s="10"/>
      <c r="E63" s="19"/>
      <c r="F63" s="10"/>
      <c r="G63" s="10"/>
      <c r="H63" s="10"/>
      <c r="I63" s="10"/>
      <c r="J63" s="10"/>
      <c r="K63" s="10"/>
      <c r="L63" s="10"/>
      <c r="M63" s="10"/>
    </row>
    <row r="64" customFormat="false" ht="15" hidden="false" customHeight="false" outlineLevel="0" collapsed="false">
      <c r="A64" s="18"/>
      <c r="B64" s="10"/>
      <c r="C64" s="10"/>
      <c r="D64" s="10"/>
      <c r="E64" s="19"/>
      <c r="F64" s="10"/>
      <c r="G64" s="10"/>
      <c r="H64" s="10"/>
      <c r="I64" s="10"/>
      <c r="J64" s="10"/>
      <c r="K64" s="10"/>
      <c r="L64" s="10"/>
      <c r="M64" s="10"/>
    </row>
    <row r="65" customFormat="false" ht="15" hidden="false" customHeight="false" outlineLevel="0" collapsed="false">
      <c r="A65" s="18"/>
      <c r="B65" s="10"/>
      <c r="C65" s="10"/>
      <c r="D65" s="10"/>
      <c r="E65" s="19"/>
      <c r="F65" s="10"/>
      <c r="G65" s="10"/>
      <c r="H65" s="10"/>
      <c r="I65" s="10"/>
      <c r="J65" s="10"/>
      <c r="K65" s="10"/>
      <c r="L65" s="10"/>
      <c r="M65" s="10"/>
    </row>
    <row r="66" customFormat="false" ht="15" hidden="false" customHeight="false" outlineLevel="0" collapsed="false">
      <c r="A66" s="18"/>
      <c r="B66" s="10"/>
      <c r="C66" s="10"/>
      <c r="D66" s="10"/>
      <c r="E66" s="19"/>
      <c r="F66" s="10"/>
      <c r="G66" s="10"/>
      <c r="H66" s="10"/>
      <c r="I66" s="10"/>
      <c r="J66" s="10"/>
      <c r="K66" s="10"/>
      <c r="L66" s="10"/>
      <c r="M66" s="10"/>
    </row>
    <row r="67" customFormat="false" ht="15" hidden="false" customHeight="false" outlineLevel="0" collapsed="false">
      <c r="A67" s="18"/>
      <c r="B67" s="10"/>
      <c r="C67" s="10"/>
      <c r="D67" s="10"/>
      <c r="E67" s="19"/>
      <c r="F67" s="10"/>
      <c r="G67" s="10"/>
      <c r="H67" s="10"/>
      <c r="I67" s="10"/>
      <c r="J67" s="10"/>
      <c r="K67" s="10"/>
      <c r="L67" s="10"/>
      <c r="M67" s="10"/>
    </row>
    <row r="68" customFormat="false" ht="15" hidden="false" customHeight="false" outlineLevel="0" collapsed="false">
      <c r="A68" s="18"/>
      <c r="B68" s="10"/>
      <c r="C68" s="10"/>
      <c r="D68" s="10"/>
      <c r="E68" s="19"/>
      <c r="F68" s="10"/>
      <c r="G68" s="10"/>
      <c r="H68" s="10"/>
      <c r="I68" s="10"/>
      <c r="J68" s="10"/>
      <c r="K68" s="10"/>
      <c r="L68" s="10"/>
      <c r="M68" s="10"/>
    </row>
    <row r="69" customFormat="false" ht="15" hidden="false" customHeight="false" outlineLevel="0" collapsed="false">
      <c r="A69" s="18"/>
      <c r="B69" s="10"/>
      <c r="C69" s="10"/>
      <c r="D69" s="10"/>
      <c r="E69" s="19"/>
      <c r="F69" s="10"/>
      <c r="G69" s="10"/>
      <c r="H69" s="10"/>
      <c r="I69" s="10"/>
      <c r="J69" s="10"/>
      <c r="K69" s="10"/>
      <c r="L69" s="10"/>
      <c r="M69" s="10"/>
    </row>
    <row r="70" customFormat="false" ht="15" hidden="false" customHeight="false" outlineLevel="0" collapsed="false">
      <c r="A70" s="18"/>
      <c r="B70" s="10"/>
      <c r="C70" s="10"/>
      <c r="D70" s="10"/>
      <c r="E70" s="19"/>
      <c r="F70" s="10"/>
      <c r="G70" s="10"/>
      <c r="H70" s="10"/>
      <c r="I70" s="10"/>
      <c r="J70" s="10"/>
      <c r="K70" s="10"/>
      <c r="L70" s="10"/>
      <c r="M70" s="10"/>
    </row>
    <row r="71" customFormat="false" ht="15" hidden="false" customHeight="false" outlineLevel="0" collapsed="false">
      <c r="A71" s="18"/>
      <c r="B71" s="10"/>
      <c r="C71" s="10"/>
      <c r="D71" s="10"/>
      <c r="E71" s="19"/>
      <c r="F71" s="10"/>
      <c r="G71" s="10"/>
      <c r="H71" s="10"/>
      <c r="I71" s="10"/>
      <c r="J71" s="10"/>
      <c r="K71" s="10"/>
      <c r="L71" s="10"/>
      <c r="M71" s="10"/>
    </row>
    <row r="72" customFormat="false" ht="15" hidden="false" customHeight="false" outlineLevel="0" collapsed="false">
      <c r="A72" s="18"/>
      <c r="B72" s="10"/>
      <c r="C72" s="10"/>
      <c r="D72" s="10"/>
      <c r="E72" s="19"/>
      <c r="F72" s="10"/>
      <c r="G72" s="10"/>
      <c r="H72" s="10"/>
      <c r="I72" s="10"/>
      <c r="J72" s="10"/>
      <c r="K72" s="10"/>
      <c r="L72" s="10"/>
      <c r="M72" s="10"/>
    </row>
    <row r="73" customFormat="false" ht="15" hidden="false" customHeight="false" outlineLevel="0" collapsed="false">
      <c r="A73" s="18"/>
      <c r="B73" s="10"/>
      <c r="C73" s="10"/>
      <c r="D73" s="10"/>
      <c r="E73" s="19"/>
      <c r="F73" s="10"/>
      <c r="G73" s="10"/>
      <c r="H73" s="10"/>
      <c r="I73" s="10"/>
      <c r="J73" s="10"/>
      <c r="K73" s="10"/>
      <c r="L73" s="10"/>
      <c r="M73" s="10"/>
    </row>
    <row r="74" customFormat="false" ht="15" hidden="false" customHeight="false" outlineLevel="0" collapsed="false">
      <c r="A74" s="18"/>
      <c r="B74" s="10"/>
      <c r="C74" s="10"/>
      <c r="D74" s="10"/>
      <c r="E74" s="19"/>
      <c r="F74" s="10"/>
      <c r="G74" s="10"/>
      <c r="H74" s="10"/>
      <c r="I74" s="10"/>
      <c r="J74" s="10"/>
      <c r="K74" s="10"/>
      <c r="L74" s="10"/>
      <c r="M74" s="10"/>
    </row>
    <row r="75" customFormat="false" ht="15" hidden="false" customHeight="false" outlineLevel="0" collapsed="false">
      <c r="A75" s="18"/>
      <c r="B75" s="10"/>
      <c r="C75" s="10"/>
      <c r="D75" s="10"/>
      <c r="E75" s="19"/>
      <c r="F75" s="10"/>
      <c r="G75" s="10"/>
      <c r="H75" s="10"/>
      <c r="I75" s="10"/>
      <c r="J75" s="10"/>
      <c r="K75" s="10"/>
      <c r="L75" s="10"/>
      <c r="M75" s="10"/>
    </row>
    <row r="76" customFormat="false" ht="15" hidden="false" customHeight="false" outlineLevel="0" collapsed="false">
      <c r="A76" s="18"/>
      <c r="B76" s="10"/>
      <c r="C76" s="10"/>
      <c r="D76" s="10"/>
      <c r="E76" s="19"/>
      <c r="F76" s="10"/>
      <c r="G76" s="10"/>
      <c r="H76" s="10"/>
      <c r="I76" s="10"/>
      <c r="J76" s="10"/>
      <c r="K76" s="10"/>
      <c r="L76" s="10"/>
      <c r="M76" s="10"/>
    </row>
    <row r="77" customFormat="false" ht="15" hidden="false" customHeight="false" outlineLevel="0" collapsed="false">
      <c r="A77" s="18"/>
      <c r="B77" s="10"/>
      <c r="C77" s="10"/>
      <c r="D77" s="10"/>
      <c r="E77" s="19"/>
      <c r="F77" s="10"/>
      <c r="G77" s="10"/>
      <c r="H77" s="10"/>
      <c r="I77" s="10"/>
      <c r="J77" s="10"/>
      <c r="K77" s="10"/>
      <c r="L77" s="10"/>
      <c r="M77" s="10"/>
    </row>
    <row r="78" customFormat="false" ht="15" hidden="false" customHeight="false" outlineLevel="0" collapsed="false">
      <c r="A78" s="18"/>
      <c r="B78" s="10"/>
      <c r="C78" s="10"/>
      <c r="D78" s="10"/>
      <c r="E78" s="19"/>
      <c r="F78" s="10"/>
      <c r="G78" s="10"/>
      <c r="H78" s="10"/>
      <c r="I78" s="10"/>
      <c r="J78" s="10"/>
      <c r="K78" s="10"/>
      <c r="L78" s="10"/>
      <c r="M78" s="10"/>
    </row>
    <row r="79" customFormat="false" ht="15" hidden="false" customHeight="false" outlineLevel="0" collapsed="false">
      <c r="A79" s="18"/>
      <c r="B79" s="10"/>
      <c r="C79" s="10"/>
      <c r="D79" s="10"/>
      <c r="E79" s="19"/>
      <c r="F79" s="10"/>
      <c r="G79" s="10"/>
      <c r="H79" s="10"/>
      <c r="I79" s="10"/>
      <c r="J79" s="10"/>
      <c r="K79" s="10"/>
      <c r="L79" s="10"/>
      <c r="M79" s="10"/>
    </row>
    <row r="80" customFormat="false" ht="15" hidden="false" customHeight="false" outlineLevel="0" collapsed="false">
      <c r="A80" s="18"/>
      <c r="B80" s="10"/>
      <c r="C80" s="10"/>
      <c r="D80" s="10"/>
      <c r="E80" s="19"/>
      <c r="F80" s="10"/>
      <c r="G80" s="10"/>
      <c r="H80" s="10"/>
      <c r="I80" s="10"/>
      <c r="J80" s="10"/>
      <c r="K80" s="10"/>
      <c r="L80" s="10"/>
      <c r="M80" s="10"/>
    </row>
    <row r="81" customFormat="false" ht="15" hidden="false" customHeight="false" outlineLevel="0" collapsed="false">
      <c r="A81" s="18"/>
      <c r="B81" s="10"/>
      <c r="C81" s="10"/>
      <c r="D81" s="10"/>
      <c r="E81" s="19"/>
      <c r="F81" s="10"/>
      <c r="G81" s="10"/>
      <c r="H81" s="10"/>
      <c r="I81" s="10"/>
      <c r="J81" s="10"/>
      <c r="K81" s="10"/>
      <c r="L81" s="10"/>
      <c r="M81" s="10"/>
    </row>
    <row r="82" customFormat="false" ht="15" hidden="false" customHeight="false" outlineLevel="0" collapsed="false">
      <c r="A82" s="18"/>
      <c r="B82" s="10"/>
      <c r="C82" s="10"/>
      <c r="D82" s="10"/>
      <c r="E82" s="19"/>
      <c r="F82" s="10"/>
      <c r="G82" s="10"/>
      <c r="H82" s="10"/>
      <c r="I82" s="10"/>
      <c r="J82" s="10"/>
      <c r="K82" s="10"/>
      <c r="L82" s="10"/>
      <c r="M82" s="10"/>
    </row>
    <row r="83" customFormat="false" ht="15" hidden="false" customHeight="false" outlineLevel="0" collapsed="false">
      <c r="A83" s="18"/>
      <c r="B83" s="10"/>
      <c r="C83" s="10"/>
      <c r="D83" s="10"/>
      <c r="E83" s="19"/>
      <c r="F83" s="10"/>
      <c r="G83" s="10"/>
      <c r="H83" s="10"/>
      <c r="I83" s="10"/>
      <c r="J83" s="10"/>
      <c r="K83" s="10"/>
      <c r="L83" s="10"/>
      <c r="M83" s="10"/>
    </row>
    <row r="84" customFormat="false" ht="15" hidden="false" customHeight="false" outlineLevel="0" collapsed="false">
      <c r="A84" s="18"/>
      <c r="B84" s="10"/>
      <c r="C84" s="10"/>
      <c r="D84" s="10"/>
      <c r="E84" s="19"/>
      <c r="F84" s="10"/>
      <c r="G84" s="10"/>
      <c r="H84" s="10"/>
      <c r="I84" s="10"/>
      <c r="J84" s="10"/>
      <c r="K84" s="10"/>
      <c r="L84" s="10"/>
      <c r="M84" s="10"/>
    </row>
    <row r="85" customFormat="false" ht="15" hidden="false" customHeight="false" outlineLevel="0" collapsed="false">
      <c r="A85" s="18"/>
      <c r="B85" s="10"/>
      <c r="C85" s="10"/>
      <c r="D85" s="10"/>
      <c r="E85" s="19"/>
      <c r="F85" s="10"/>
      <c r="G85" s="10"/>
      <c r="H85" s="10"/>
      <c r="I85" s="10"/>
      <c r="J85" s="10"/>
      <c r="K85" s="10"/>
      <c r="L85" s="10"/>
      <c r="M85" s="10"/>
    </row>
    <row r="86" customFormat="false" ht="15" hidden="false" customHeight="false" outlineLevel="0" collapsed="false">
      <c r="A86" s="18"/>
      <c r="B86" s="10"/>
      <c r="C86" s="10"/>
      <c r="D86" s="10"/>
      <c r="E86" s="19"/>
      <c r="F86" s="10"/>
      <c r="G86" s="10"/>
      <c r="H86" s="10"/>
      <c r="I86" s="10"/>
      <c r="J86" s="10"/>
      <c r="K86" s="10"/>
      <c r="L86" s="10"/>
      <c r="M86" s="10"/>
    </row>
    <row r="87" customFormat="false" ht="15" hidden="false" customHeight="false" outlineLevel="0" collapsed="false">
      <c r="A87" s="18"/>
      <c r="B87" s="10"/>
      <c r="C87" s="10"/>
      <c r="D87" s="10"/>
      <c r="E87" s="19"/>
      <c r="F87" s="10"/>
      <c r="G87" s="10"/>
      <c r="H87" s="10"/>
      <c r="I87" s="10"/>
      <c r="J87" s="10"/>
      <c r="K87" s="10"/>
      <c r="L87" s="10"/>
      <c r="M87" s="10"/>
    </row>
    <row r="88" customFormat="false" ht="15" hidden="false" customHeight="false" outlineLevel="0" collapsed="false">
      <c r="A88" s="18"/>
      <c r="B88" s="10"/>
      <c r="C88" s="10"/>
      <c r="D88" s="10"/>
      <c r="E88" s="19"/>
      <c r="F88" s="10"/>
      <c r="G88" s="10"/>
      <c r="H88" s="10"/>
      <c r="I88" s="10"/>
      <c r="J88" s="10"/>
      <c r="K88" s="10"/>
      <c r="L88" s="10"/>
      <c r="M88" s="10"/>
    </row>
    <row r="89" customFormat="false" ht="15" hidden="false" customHeight="false" outlineLevel="0" collapsed="false">
      <c r="A89" s="18"/>
      <c r="B89" s="10"/>
      <c r="C89" s="10"/>
      <c r="D89" s="10"/>
      <c r="E89" s="19"/>
      <c r="F89" s="10"/>
      <c r="G89" s="10"/>
      <c r="H89" s="10"/>
      <c r="I89" s="10"/>
      <c r="J89" s="10"/>
      <c r="K89" s="10"/>
      <c r="L89" s="10"/>
      <c r="M89" s="10"/>
    </row>
    <row r="90" customFormat="false" ht="15" hidden="false" customHeight="false" outlineLevel="0" collapsed="false">
      <c r="A90" s="18"/>
      <c r="B90" s="10"/>
      <c r="C90" s="10"/>
      <c r="D90" s="10"/>
      <c r="E90" s="19"/>
      <c r="F90" s="10"/>
      <c r="G90" s="10"/>
      <c r="H90" s="10"/>
      <c r="I90" s="10"/>
      <c r="J90" s="10"/>
      <c r="K90" s="10"/>
      <c r="L90" s="10"/>
      <c r="M90" s="10"/>
    </row>
    <row r="91" customFormat="false" ht="15" hidden="false" customHeight="false" outlineLevel="0" collapsed="false">
      <c r="A91" s="18"/>
      <c r="B91" s="10"/>
      <c r="C91" s="10"/>
      <c r="D91" s="10"/>
      <c r="E91" s="19"/>
      <c r="F91" s="10"/>
      <c r="G91" s="10"/>
      <c r="H91" s="10"/>
      <c r="I91" s="10"/>
      <c r="J91" s="10"/>
      <c r="K91" s="10"/>
      <c r="L91" s="10"/>
      <c r="M91" s="10"/>
    </row>
    <row r="92" customFormat="false" ht="15" hidden="false" customHeight="false" outlineLevel="0" collapsed="false">
      <c r="A92" s="18"/>
      <c r="B92" s="10"/>
      <c r="C92" s="10"/>
      <c r="D92" s="10"/>
      <c r="E92" s="19"/>
      <c r="F92" s="10"/>
      <c r="G92" s="10"/>
      <c r="H92" s="10"/>
      <c r="I92" s="10"/>
      <c r="J92" s="10"/>
      <c r="K92" s="10"/>
      <c r="L92" s="10"/>
      <c r="M92" s="10"/>
    </row>
    <row r="93" customFormat="false" ht="15" hidden="false" customHeight="false" outlineLevel="0" collapsed="false">
      <c r="A93" s="18"/>
      <c r="B93" s="10"/>
      <c r="C93" s="10"/>
      <c r="D93" s="10"/>
      <c r="E93" s="19"/>
      <c r="F93" s="10"/>
      <c r="G93" s="10"/>
      <c r="H93" s="10"/>
      <c r="I93" s="10"/>
      <c r="J93" s="10"/>
      <c r="K93" s="10"/>
      <c r="L93" s="10"/>
      <c r="M93" s="10"/>
    </row>
    <row r="94" customFormat="false" ht="15" hidden="false" customHeight="false" outlineLevel="0" collapsed="false">
      <c r="A94" s="18"/>
      <c r="B94" s="10"/>
      <c r="C94" s="10"/>
      <c r="D94" s="10"/>
      <c r="E94" s="19"/>
      <c r="F94" s="10"/>
      <c r="G94" s="10"/>
      <c r="H94" s="10"/>
      <c r="I94" s="10"/>
      <c r="J94" s="10"/>
      <c r="K94" s="10"/>
      <c r="L94" s="10"/>
      <c r="M94" s="10"/>
    </row>
    <row r="95" customFormat="false" ht="15" hidden="false" customHeight="false" outlineLevel="0" collapsed="false">
      <c r="A95" s="18"/>
      <c r="B95" s="10"/>
      <c r="C95" s="10"/>
      <c r="D95" s="10"/>
      <c r="E95" s="19"/>
      <c r="F95" s="10"/>
      <c r="G95" s="10"/>
      <c r="H95" s="10"/>
      <c r="I95" s="10"/>
      <c r="J95" s="10"/>
      <c r="K95" s="10"/>
      <c r="L95" s="10"/>
      <c r="M95" s="10"/>
    </row>
    <row r="96" customFormat="false" ht="15" hidden="false" customHeight="false" outlineLevel="0" collapsed="false">
      <c r="A96" s="18"/>
      <c r="B96" s="10"/>
      <c r="C96" s="10"/>
      <c r="D96" s="10"/>
      <c r="E96" s="19"/>
      <c r="F96" s="10"/>
      <c r="G96" s="10"/>
      <c r="H96" s="10"/>
      <c r="I96" s="10"/>
      <c r="J96" s="10"/>
      <c r="K96" s="10"/>
      <c r="L96" s="10"/>
      <c r="M96" s="10"/>
    </row>
    <row r="97" customFormat="false" ht="15" hidden="false" customHeight="false" outlineLevel="0" collapsed="false">
      <c r="A97" s="18"/>
      <c r="B97" s="10"/>
      <c r="C97" s="10"/>
      <c r="D97" s="10"/>
      <c r="E97" s="19"/>
      <c r="F97" s="10"/>
      <c r="G97" s="10"/>
      <c r="H97" s="10"/>
      <c r="I97" s="10"/>
      <c r="J97" s="10"/>
      <c r="K97" s="10"/>
      <c r="L97" s="10"/>
      <c r="M97" s="10"/>
    </row>
    <row r="98" customFormat="false" ht="15" hidden="false" customHeight="false" outlineLevel="0" collapsed="false">
      <c r="A98" s="18"/>
      <c r="B98" s="10"/>
      <c r="C98" s="10"/>
      <c r="D98" s="10"/>
      <c r="E98" s="19"/>
      <c r="F98" s="10"/>
      <c r="G98" s="10"/>
      <c r="H98" s="10"/>
      <c r="I98" s="10"/>
      <c r="J98" s="10"/>
      <c r="K98" s="10"/>
      <c r="L98" s="10"/>
      <c r="M98" s="10"/>
    </row>
    <row r="99" customFormat="false" ht="15" hidden="false" customHeight="false" outlineLevel="0" collapsed="false">
      <c r="A99" s="18"/>
      <c r="B99" s="10"/>
      <c r="C99" s="10"/>
      <c r="D99" s="10"/>
      <c r="E99" s="19"/>
      <c r="F99" s="10"/>
      <c r="G99" s="10"/>
      <c r="H99" s="10"/>
      <c r="I99" s="10"/>
      <c r="J99" s="10"/>
      <c r="K99" s="10"/>
      <c r="L99" s="10"/>
      <c r="M99" s="10"/>
    </row>
    <row r="100" customFormat="false" ht="15" hidden="false" customHeight="false" outlineLevel="0" collapsed="false">
      <c r="A100" s="18"/>
      <c r="B100" s="10"/>
      <c r="C100" s="10"/>
      <c r="D100" s="10"/>
      <c r="E100" s="19"/>
      <c r="F100" s="10"/>
      <c r="G100" s="10"/>
      <c r="H100" s="10"/>
      <c r="I100" s="10"/>
      <c r="J100" s="10"/>
      <c r="K100" s="10"/>
      <c r="L100" s="10"/>
      <c r="M100" s="10"/>
    </row>
    <row r="101" customFormat="false" ht="15" hidden="false" customHeight="false" outlineLevel="0" collapsed="false">
      <c r="A101" s="18"/>
      <c r="B101" s="10"/>
      <c r="C101" s="10"/>
      <c r="D101" s="10"/>
      <c r="E101" s="19"/>
      <c r="F101" s="10"/>
      <c r="G101" s="10"/>
      <c r="H101" s="10"/>
      <c r="I101" s="10"/>
      <c r="J101" s="10"/>
      <c r="K101" s="10"/>
      <c r="L101" s="10"/>
      <c r="M101" s="10"/>
    </row>
    <row r="102" customFormat="false" ht="15" hidden="false" customHeight="false" outlineLevel="0" collapsed="false">
      <c r="A102" s="18"/>
      <c r="B102" s="10"/>
      <c r="C102" s="10"/>
      <c r="D102" s="10"/>
      <c r="E102" s="19"/>
      <c r="F102" s="10"/>
      <c r="G102" s="10"/>
      <c r="H102" s="10"/>
      <c r="I102" s="10"/>
      <c r="J102" s="10"/>
      <c r="K102" s="10"/>
      <c r="L102" s="10"/>
      <c r="M102" s="10"/>
    </row>
    <row r="103" customFormat="false" ht="15" hidden="false" customHeight="false" outlineLevel="0" collapsed="false">
      <c r="A103" s="18"/>
      <c r="B103" s="10"/>
      <c r="C103" s="10"/>
      <c r="D103" s="10"/>
      <c r="E103" s="19"/>
      <c r="F103" s="10"/>
      <c r="G103" s="10"/>
      <c r="H103" s="10"/>
      <c r="I103" s="10"/>
      <c r="J103" s="10"/>
      <c r="K103" s="10"/>
      <c r="L103" s="10"/>
      <c r="M103" s="10"/>
    </row>
    <row r="104" customFormat="false" ht="15" hidden="false" customHeight="false" outlineLevel="0" collapsed="false">
      <c r="A104" s="18"/>
      <c r="B104" s="10"/>
      <c r="C104" s="10"/>
      <c r="D104" s="10"/>
      <c r="E104" s="19"/>
      <c r="F104" s="10"/>
      <c r="G104" s="10"/>
      <c r="H104" s="10"/>
      <c r="I104" s="10"/>
      <c r="J104" s="10"/>
      <c r="K104" s="10"/>
      <c r="L104" s="10"/>
      <c r="M104" s="10"/>
    </row>
    <row r="105" customFormat="false" ht="15" hidden="false" customHeight="false" outlineLevel="0" collapsed="false">
      <c r="A105" s="18"/>
      <c r="B105" s="10"/>
      <c r="C105" s="10"/>
      <c r="D105" s="10"/>
      <c r="E105" s="19"/>
      <c r="F105" s="10"/>
      <c r="G105" s="10"/>
      <c r="H105" s="10"/>
      <c r="I105" s="10"/>
      <c r="J105" s="10"/>
      <c r="K105" s="10"/>
      <c r="L105" s="10"/>
      <c r="M105" s="10"/>
    </row>
    <row r="106" customFormat="false" ht="15" hidden="false" customHeight="false" outlineLevel="0" collapsed="false">
      <c r="A106" s="18"/>
      <c r="B106" s="10"/>
      <c r="C106" s="10"/>
      <c r="D106" s="10"/>
      <c r="E106" s="19"/>
      <c r="F106" s="10"/>
      <c r="G106" s="10"/>
      <c r="H106" s="10"/>
      <c r="I106" s="10"/>
      <c r="J106" s="10"/>
      <c r="K106" s="10"/>
      <c r="L106" s="10"/>
      <c r="M106" s="10"/>
    </row>
    <row r="107" customFormat="false" ht="15" hidden="false" customHeight="false" outlineLevel="0" collapsed="false">
      <c r="A107" s="18"/>
      <c r="B107" s="10"/>
      <c r="C107" s="10"/>
      <c r="D107" s="10"/>
      <c r="E107" s="19"/>
      <c r="F107" s="10"/>
      <c r="G107" s="10"/>
      <c r="H107" s="10"/>
      <c r="I107" s="10"/>
      <c r="J107" s="10"/>
      <c r="K107" s="10"/>
      <c r="L107" s="10"/>
      <c r="M107" s="10"/>
    </row>
    <row r="108" customFormat="false" ht="15" hidden="false" customHeight="false" outlineLevel="0" collapsed="false">
      <c r="A108" s="18"/>
      <c r="B108" s="10"/>
      <c r="C108" s="10"/>
      <c r="D108" s="10"/>
      <c r="E108" s="19"/>
      <c r="F108" s="10"/>
      <c r="G108" s="10"/>
      <c r="H108" s="10"/>
      <c r="I108" s="10"/>
      <c r="J108" s="10"/>
      <c r="K108" s="10"/>
      <c r="L108" s="10"/>
      <c r="M108" s="10"/>
    </row>
    <row r="109" customFormat="false" ht="15" hidden="false" customHeight="false" outlineLevel="0" collapsed="false">
      <c r="A109" s="18"/>
      <c r="B109" s="10"/>
      <c r="C109" s="10"/>
      <c r="D109" s="10"/>
      <c r="E109" s="19"/>
      <c r="F109" s="10"/>
      <c r="G109" s="10"/>
      <c r="H109" s="10"/>
      <c r="I109" s="10"/>
      <c r="J109" s="10"/>
      <c r="K109" s="10"/>
      <c r="L109" s="10"/>
      <c r="M109" s="10"/>
    </row>
    <row r="110" customFormat="false" ht="15" hidden="false" customHeight="false" outlineLevel="0" collapsed="false">
      <c r="A110" s="18"/>
      <c r="B110" s="10"/>
      <c r="C110" s="10"/>
      <c r="D110" s="10"/>
      <c r="E110" s="19"/>
      <c r="F110" s="10"/>
      <c r="G110" s="10"/>
      <c r="H110" s="10"/>
      <c r="I110" s="10"/>
      <c r="J110" s="10"/>
      <c r="K110" s="10"/>
      <c r="L110" s="10"/>
      <c r="M110" s="10"/>
    </row>
    <row r="111" customFormat="false" ht="15" hidden="false" customHeight="false" outlineLevel="0" collapsed="false">
      <c r="A111" s="18"/>
      <c r="B111" s="10"/>
      <c r="C111" s="10"/>
      <c r="D111" s="10"/>
      <c r="E111" s="19"/>
      <c r="F111" s="10"/>
      <c r="G111" s="10"/>
      <c r="H111" s="10"/>
      <c r="I111" s="10"/>
      <c r="J111" s="10"/>
      <c r="K111" s="10"/>
      <c r="L111" s="10"/>
      <c r="M111" s="10"/>
    </row>
    <row r="112" customFormat="false" ht="15" hidden="false" customHeight="false" outlineLevel="0" collapsed="false">
      <c r="A112" s="18"/>
      <c r="B112" s="10"/>
      <c r="C112" s="10"/>
      <c r="D112" s="10"/>
      <c r="E112" s="19"/>
      <c r="F112" s="10"/>
      <c r="G112" s="10"/>
      <c r="H112" s="10"/>
      <c r="I112" s="10"/>
      <c r="J112" s="10"/>
      <c r="K112" s="10"/>
      <c r="L112" s="10"/>
      <c r="M112" s="10"/>
    </row>
    <row r="113" customFormat="false" ht="15" hidden="false" customHeight="false" outlineLevel="0" collapsed="false">
      <c r="A113" s="18"/>
      <c r="B113" s="10"/>
      <c r="C113" s="10"/>
      <c r="D113" s="10"/>
      <c r="E113" s="19"/>
      <c r="F113" s="10"/>
      <c r="G113" s="10"/>
      <c r="H113" s="10"/>
      <c r="I113" s="10"/>
      <c r="J113" s="10"/>
      <c r="K113" s="10"/>
      <c r="L113" s="10"/>
      <c r="M113" s="10"/>
    </row>
    <row r="114" customFormat="false" ht="15" hidden="false" customHeight="false" outlineLevel="0" collapsed="false">
      <c r="A114" s="18"/>
      <c r="B114" s="10"/>
      <c r="C114" s="10"/>
      <c r="D114" s="10"/>
      <c r="E114" s="19"/>
      <c r="F114" s="10"/>
      <c r="G114" s="10"/>
      <c r="H114" s="10"/>
      <c r="I114" s="10"/>
      <c r="J114" s="10"/>
      <c r="K114" s="10"/>
      <c r="L114" s="10"/>
      <c r="M114" s="10"/>
    </row>
    <row r="115" customFormat="false" ht="15" hidden="false" customHeight="false" outlineLevel="0" collapsed="false">
      <c r="A115" s="18"/>
      <c r="B115" s="10"/>
      <c r="C115" s="10"/>
      <c r="D115" s="10"/>
      <c r="E115" s="19"/>
      <c r="F115" s="10"/>
      <c r="G115" s="10"/>
      <c r="H115" s="10"/>
      <c r="I115" s="10"/>
      <c r="J115" s="10"/>
      <c r="K115" s="10"/>
      <c r="L115" s="10"/>
      <c r="M115" s="10"/>
    </row>
    <row r="116" customFormat="false" ht="15" hidden="false" customHeight="false" outlineLevel="0" collapsed="false">
      <c r="A116" s="18"/>
      <c r="B116" s="10"/>
      <c r="C116" s="10"/>
      <c r="D116" s="10"/>
      <c r="E116" s="19"/>
      <c r="F116" s="10"/>
      <c r="G116" s="10"/>
      <c r="H116" s="10"/>
      <c r="I116" s="10"/>
      <c r="J116" s="10"/>
      <c r="K116" s="10"/>
      <c r="L116" s="10"/>
      <c r="M116" s="10"/>
    </row>
    <row r="117" customFormat="false" ht="15" hidden="false" customHeight="false" outlineLevel="0" collapsed="false">
      <c r="A117" s="18"/>
      <c r="B117" s="10"/>
      <c r="C117" s="10"/>
      <c r="D117" s="10"/>
      <c r="E117" s="19"/>
      <c r="F117" s="10"/>
      <c r="G117" s="10"/>
      <c r="H117" s="10"/>
      <c r="I117" s="10"/>
      <c r="J117" s="10"/>
      <c r="K117" s="10"/>
      <c r="L117" s="10"/>
      <c r="M117" s="10"/>
    </row>
    <row r="118" customFormat="false" ht="15" hidden="false" customHeight="false" outlineLevel="0" collapsed="false">
      <c r="A118" s="18"/>
      <c r="B118" s="10"/>
      <c r="C118" s="10"/>
      <c r="D118" s="10"/>
      <c r="E118" s="19"/>
      <c r="F118" s="10"/>
      <c r="G118" s="10"/>
      <c r="H118" s="10"/>
      <c r="I118" s="10"/>
      <c r="J118" s="10"/>
      <c r="K118" s="10"/>
      <c r="L118" s="10"/>
      <c r="M118" s="10"/>
    </row>
    <row r="119" customFormat="false" ht="15" hidden="false" customHeight="false" outlineLevel="0" collapsed="false">
      <c r="A119" s="18"/>
      <c r="B119" s="10"/>
      <c r="C119" s="10"/>
      <c r="D119" s="10"/>
      <c r="E119" s="19"/>
      <c r="F119" s="10"/>
      <c r="G119" s="10"/>
      <c r="H119" s="10"/>
      <c r="I119" s="10"/>
      <c r="J119" s="10"/>
      <c r="K119" s="10"/>
      <c r="L119" s="10"/>
      <c r="M119" s="10"/>
    </row>
    <row r="120" customFormat="false" ht="15" hidden="false" customHeight="false" outlineLevel="0" collapsed="false">
      <c r="A120" s="18"/>
      <c r="B120" s="10"/>
      <c r="C120" s="10"/>
      <c r="D120" s="10"/>
      <c r="E120" s="19"/>
      <c r="F120" s="10"/>
      <c r="G120" s="10"/>
      <c r="H120" s="10"/>
      <c r="I120" s="10"/>
      <c r="J120" s="10"/>
      <c r="K120" s="10"/>
      <c r="L120" s="10"/>
      <c r="M120" s="10"/>
    </row>
    <row r="121" customFormat="false" ht="15" hidden="false" customHeight="false" outlineLevel="0" collapsed="false">
      <c r="A121" s="18"/>
      <c r="B121" s="10"/>
      <c r="C121" s="10"/>
      <c r="D121" s="10"/>
      <c r="E121" s="19"/>
      <c r="F121" s="10"/>
      <c r="G121" s="10"/>
      <c r="H121" s="10"/>
      <c r="I121" s="10"/>
      <c r="J121" s="10"/>
      <c r="K121" s="10"/>
      <c r="L121" s="10"/>
      <c r="M121" s="10"/>
    </row>
    <row r="122" customFormat="false" ht="15" hidden="false" customHeight="false" outlineLevel="0" collapsed="false">
      <c r="A122" s="18"/>
      <c r="B122" s="10"/>
      <c r="C122" s="10"/>
      <c r="D122" s="10"/>
      <c r="E122" s="19"/>
      <c r="F122" s="10"/>
      <c r="G122" s="10"/>
      <c r="H122" s="10"/>
      <c r="I122" s="10"/>
      <c r="J122" s="10"/>
      <c r="K122" s="10"/>
      <c r="L122" s="10"/>
      <c r="M122" s="10"/>
    </row>
    <row r="123" customFormat="false" ht="15" hidden="false" customHeight="false" outlineLevel="0" collapsed="false">
      <c r="A123" s="18"/>
      <c r="B123" s="10"/>
      <c r="C123" s="10"/>
      <c r="D123" s="10"/>
      <c r="E123" s="19"/>
      <c r="F123" s="10"/>
      <c r="G123" s="10"/>
      <c r="H123" s="10"/>
      <c r="I123" s="10"/>
      <c r="J123" s="10"/>
      <c r="K123" s="10"/>
      <c r="L123" s="10"/>
      <c r="M123" s="10"/>
    </row>
    <row r="124" customFormat="false" ht="15" hidden="false" customHeight="false" outlineLevel="0" collapsed="false">
      <c r="A124" s="18"/>
      <c r="B124" s="10"/>
      <c r="C124" s="10"/>
      <c r="D124" s="10"/>
      <c r="E124" s="19"/>
      <c r="F124" s="10"/>
      <c r="G124" s="10"/>
      <c r="H124" s="10"/>
      <c r="I124" s="10"/>
      <c r="J124" s="10"/>
      <c r="K124" s="10"/>
      <c r="L124" s="10"/>
      <c r="M124" s="10"/>
    </row>
    <row r="125" customFormat="false" ht="15" hidden="false" customHeight="false" outlineLevel="0" collapsed="false">
      <c r="A125" s="18"/>
      <c r="B125" s="10"/>
      <c r="C125" s="10"/>
      <c r="D125" s="10"/>
      <c r="E125" s="19"/>
      <c r="F125" s="10"/>
      <c r="G125" s="10"/>
      <c r="H125" s="10"/>
      <c r="I125" s="10"/>
      <c r="J125" s="10"/>
      <c r="K125" s="10"/>
      <c r="L125" s="10"/>
      <c r="M125" s="10"/>
    </row>
    <row r="126" customFormat="false" ht="15" hidden="false" customHeight="false" outlineLevel="0" collapsed="false">
      <c r="A126" s="18"/>
      <c r="B126" s="10"/>
      <c r="C126" s="10"/>
      <c r="D126" s="10"/>
      <c r="E126" s="19"/>
      <c r="F126" s="10"/>
      <c r="G126" s="10"/>
      <c r="H126" s="10"/>
      <c r="I126" s="10"/>
      <c r="J126" s="10"/>
      <c r="K126" s="10"/>
      <c r="L126" s="10"/>
      <c r="M126" s="10"/>
    </row>
    <row r="127" customFormat="false" ht="15" hidden="false" customHeight="false" outlineLevel="0" collapsed="false">
      <c r="A127" s="18"/>
      <c r="B127" s="10"/>
      <c r="C127" s="10"/>
      <c r="D127" s="10"/>
      <c r="E127" s="19"/>
      <c r="F127" s="10"/>
      <c r="G127" s="10"/>
      <c r="H127" s="10"/>
      <c r="I127" s="10"/>
      <c r="J127" s="10"/>
      <c r="K127" s="10"/>
      <c r="L127" s="10"/>
      <c r="M127" s="10"/>
    </row>
    <row r="128" customFormat="false" ht="15" hidden="false" customHeight="false" outlineLevel="0" collapsed="false">
      <c r="A128" s="18"/>
      <c r="B128" s="10"/>
      <c r="C128" s="10"/>
      <c r="D128" s="10"/>
      <c r="E128" s="19"/>
      <c r="F128" s="10"/>
      <c r="G128" s="10"/>
      <c r="H128" s="10"/>
      <c r="I128" s="10"/>
      <c r="J128" s="10"/>
      <c r="K128" s="10"/>
      <c r="L128" s="10"/>
      <c r="M128" s="10"/>
    </row>
    <row r="129" customFormat="false" ht="15" hidden="false" customHeight="false" outlineLevel="0" collapsed="false">
      <c r="A129" s="18"/>
      <c r="B129" s="10"/>
      <c r="C129" s="10"/>
      <c r="D129" s="10"/>
      <c r="E129" s="19"/>
      <c r="F129" s="10"/>
      <c r="G129" s="10"/>
      <c r="H129" s="10"/>
      <c r="I129" s="10"/>
      <c r="J129" s="10"/>
      <c r="K129" s="10"/>
      <c r="L129" s="10"/>
      <c r="M129" s="10"/>
    </row>
    <row r="130" customFormat="false" ht="15" hidden="false" customHeight="false" outlineLevel="0" collapsed="false">
      <c r="A130" s="18"/>
      <c r="B130" s="10"/>
      <c r="C130" s="10"/>
      <c r="D130" s="10"/>
      <c r="E130" s="19"/>
      <c r="F130" s="10"/>
      <c r="G130" s="10"/>
      <c r="H130" s="10"/>
      <c r="I130" s="10"/>
      <c r="J130" s="10"/>
      <c r="K130" s="10"/>
      <c r="L130" s="10"/>
      <c r="M130" s="10"/>
    </row>
    <row r="131" customFormat="false" ht="15" hidden="false" customHeight="false" outlineLevel="0" collapsed="false">
      <c r="A131" s="18"/>
      <c r="B131" s="10"/>
      <c r="C131" s="10"/>
      <c r="D131" s="10"/>
      <c r="E131" s="19"/>
      <c r="F131" s="10"/>
      <c r="G131" s="10"/>
      <c r="H131" s="10"/>
      <c r="I131" s="10"/>
      <c r="J131" s="10"/>
      <c r="K131" s="10"/>
      <c r="L131" s="10"/>
      <c r="M131" s="10"/>
    </row>
    <row r="132" customFormat="false" ht="15" hidden="false" customHeight="false" outlineLevel="0" collapsed="false">
      <c r="A132" s="18"/>
      <c r="B132" s="10"/>
      <c r="C132" s="10"/>
      <c r="D132" s="10"/>
      <c r="E132" s="19"/>
      <c r="F132" s="10"/>
      <c r="G132" s="10"/>
      <c r="H132" s="10"/>
      <c r="I132" s="10"/>
      <c r="J132" s="10"/>
      <c r="K132" s="10"/>
      <c r="L132" s="10"/>
      <c r="M132" s="10"/>
    </row>
    <row r="133" customFormat="false" ht="15" hidden="false" customHeight="false" outlineLevel="0" collapsed="false">
      <c r="A133" s="18"/>
      <c r="B133" s="10"/>
      <c r="C133" s="10"/>
      <c r="D133" s="10"/>
      <c r="E133" s="19"/>
      <c r="F133" s="10"/>
      <c r="G133" s="10"/>
      <c r="H133" s="10"/>
      <c r="I133" s="10"/>
      <c r="J133" s="10"/>
      <c r="K133" s="10"/>
      <c r="L133" s="10"/>
      <c r="M133" s="10"/>
    </row>
    <row r="134" customFormat="false" ht="15" hidden="false" customHeight="false" outlineLevel="0" collapsed="false">
      <c r="A134" s="18"/>
      <c r="B134" s="10"/>
      <c r="C134" s="10"/>
      <c r="D134" s="10"/>
      <c r="E134" s="19"/>
      <c r="F134" s="10"/>
      <c r="G134" s="10"/>
      <c r="H134" s="10"/>
      <c r="I134" s="10"/>
      <c r="J134" s="10"/>
      <c r="K134" s="10"/>
      <c r="L134" s="10"/>
      <c r="M134" s="10"/>
    </row>
    <row r="135" customFormat="false" ht="15" hidden="false" customHeight="false" outlineLevel="0" collapsed="false">
      <c r="A135" s="18"/>
      <c r="B135" s="10"/>
      <c r="C135" s="10"/>
      <c r="D135" s="10"/>
      <c r="E135" s="19"/>
      <c r="F135" s="10"/>
      <c r="G135" s="10"/>
      <c r="H135" s="10"/>
      <c r="I135" s="10"/>
      <c r="J135" s="10"/>
      <c r="K135" s="10"/>
      <c r="L135" s="10"/>
      <c r="M135" s="10"/>
    </row>
    <row r="136" customFormat="false" ht="15" hidden="false" customHeight="false" outlineLevel="0" collapsed="false">
      <c r="A136" s="18"/>
      <c r="B136" s="10"/>
      <c r="C136" s="10"/>
      <c r="D136" s="10"/>
      <c r="E136" s="19"/>
      <c r="F136" s="10"/>
      <c r="G136" s="10"/>
      <c r="H136" s="10"/>
      <c r="I136" s="10"/>
      <c r="J136" s="10"/>
      <c r="K136" s="10"/>
      <c r="L136" s="10"/>
      <c r="M136" s="10"/>
    </row>
    <row r="137" customFormat="false" ht="15" hidden="false" customHeight="false" outlineLevel="0" collapsed="false">
      <c r="A137" s="18"/>
      <c r="B137" s="10"/>
      <c r="C137" s="10"/>
      <c r="D137" s="10"/>
      <c r="E137" s="19"/>
      <c r="F137" s="10"/>
      <c r="G137" s="10"/>
      <c r="H137" s="10"/>
      <c r="I137" s="10"/>
      <c r="J137" s="10"/>
      <c r="K137" s="10"/>
      <c r="L137" s="10"/>
      <c r="M137" s="10"/>
    </row>
    <row r="138" customFormat="false" ht="15" hidden="false" customHeight="false" outlineLevel="0" collapsed="false">
      <c r="A138" s="18"/>
      <c r="B138" s="10"/>
      <c r="C138" s="10"/>
      <c r="D138" s="10"/>
      <c r="E138" s="19"/>
      <c r="F138" s="10"/>
      <c r="G138" s="10"/>
      <c r="H138" s="10"/>
      <c r="I138" s="10"/>
      <c r="J138" s="10"/>
      <c r="K138" s="10"/>
      <c r="L138" s="10"/>
      <c r="M138" s="10"/>
    </row>
    <row r="139" customFormat="false" ht="15" hidden="false" customHeight="false" outlineLevel="0" collapsed="false">
      <c r="A139" s="18"/>
      <c r="B139" s="10"/>
      <c r="C139" s="10"/>
      <c r="D139" s="10"/>
      <c r="E139" s="19"/>
      <c r="F139" s="10"/>
      <c r="G139" s="10"/>
      <c r="H139" s="10"/>
      <c r="I139" s="10"/>
      <c r="J139" s="10"/>
      <c r="K139" s="10"/>
      <c r="L139" s="10"/>
      <c r="M139" s="10"/>
    </row>
    <row r="140" customFormat="false" ht="15" hidden="false" customHeight="false" outlineLevel="0" collapsed="false">
      <c r="A140" s="18"/>
      <c r="B140" s="10"/>
      <c r="C140" s="10"/>
      <c r="D140" s="10"/>
      <c r="E140" s="19"/>
      <c r="F140" s="10"/>
      <c r="G140" s="10"/>
      <c r="H140" s="10"/>
      <c r="I140" s="10"/>
      <c r="J140" s="10"/>
      <c r="K140" s="10"/>
      <c r="L140" s="10"/>
      <c r="M140" s="10"/>
    </row>
    <row r="141" customFormat="false" ht="15" hidden="false" customHeight="false" outlineLevel="0" collapsed="false">
      <c r="A141" s="18"/>
      <c r="B141" s="10"/>
      <c r="C141" s="10"/>
      <c r="D141" s="10"/>
      <c r="E141" s="19"/>
      <c r="F141" s="10"/>
      <c r="G141" s="10"/>
      <c r="H141" s="10"/>
      <c r="I141" s="10"/>
      <c r="J141" s="10"/>
      <c r="K141" s="10"/>
      <c r="L141" s="10"/>
      <c r="M141" s="10"/>
    </row>
    <row r="142" customFormat="false" ht="15" hidden="false" customHeight="false" outlineLevel="0" collapsed="false">
      <c r="A142" s="18"/>
      <c r="B142" s="10"/>
      <c r="C142" s="10"/>
      <c r="D142" s="10"/>
      <c r="E142" s="19"/>
      <c r="F142" s="10"/>
      <c r="G142" s="10"/>
      <c r="H142" s="10"/>
      <c r="I142" s="10"/>
      <c r="J142" s="10"/>
      <c r="K142" s="10"/>
      <c r="L142" s="10"/>
      <c r="M142" s="10"/>
    </row>
    <row r="143" customFormat="false" ht="15" hidden="false" customHeight="false" outlineLevel="0" collapsed="false">
      <c r="A143" s="18"/>
      <c r="B143" s="10"/>
      <c r="C143" s="10"/>
      <c r="D143" s="10"/>
      <c r="E143" s="19"/>
      <c r="F143" s="10"/>
      <c r="G143" s="10"/>
      <c r="H143" s="10"/>
      <c r="I143" s="10"/>
      <c r="J143" s="10"/>
      <c r="K143" s="10"/>
      <c r="L143" s="10"/>
      <c r="M143" s="10"/>
    </row>
    <row r="144" customFormat="false" ht="15" hidden="false" customHeight="false" outlineLevel="0" collapsed="false">
      <c r="A144" s="18"/>
      <c r="B144" s="10"/>
      <c r="C144" s="10"/>
      <c r="D144" s="10"/>
      <c r="E144" s="19"/>
      <c r="F144" s="10"/>
      <c r="G144" s="10"/>
      <c r="H144" s="10"/>
      <c r="I144" s="10"/>
      <c r="J144" s="10"/>
      <c r="K144" s="10"/>
      <c r="L144" s="10"/>
      <c r="M144" s="10"/>
    </row>
    <row r="145" customFormat="false" ht="15" hidden="false" customHeight="false" outlineLevel="0" collapsed="false">
      <c r="A145" s="18"/>
      <c r="B145" s="10"/>
      <c r="C145" s="10"/>
      <c r="D145" s="10"/>
      <c r="E145" s="19"/>
      <c r="F145" s="10"/>
      <c r="G145" s="10"/>
      <c r="H145" s="10"/>
      <c r="I145" s="10"/>
      <c r="J145" s="10"/>
      <c r="K145" s="10"/>
      <c r="L145" s="10"/>
      <c r="M145" s="10"/>
    </row>
    <row r="146" customFormat="false" ht="15" hidden="false" customHeight="false" outlineLevel="0" collapsed="false">
      <c r="A146" s="18"/>
      <c r="B146" s="10"/>
      <c r="C146" s="10"/>
      <c r="D146" s="10"/>
      <c r="E146" s="19"/>
      <c r="F146" s="10"/>
      <c r="G146" s="10"/>
      <c r="H146" s="10"/>
      <c r="I146" s="10"/>
      <c r="J146" s="10"/>
      <c r="K146" s="10"/>
      <c r="L146" s="10"/>
      <c r="M146" s="10"/>
    </row>
    <row r="147" customFormat="false" ht="15" hidden="false" customHeight="false" outlineLevel="0" collapsed="false">
      <c r="A147" s="18"/>
      <c r="B147" s="10"/>
      <c r="C147" s="10"/>
      <c r="D147" s="10"/>
      <c r="E147" s="19"/>
      <c r="F147" s="10"/>
      <c r="G147" s="10"/>
      <c r="H147" s="10"/>
      <c r="I147" s="10"/>
      <c r="J147" s="10"/>
      <c r="K147" s="10"/>
      <c r="L147" s="10"/>
      <c r="M147" s="10"/>
    </row>
    <row r="148" customFormat="false" ht="15" hidden="false" customHeight="false" outlineLevel="0" collapsed="false">
      <c r="A148" s="18"/>
      <c r="B148" s="10"/>
      <c r="C148" s="10"/>
      <c r="D148" s="10"/>
      <c r="E148" s="19"/>
      <c r="F148" s="10"/>
      <c r="G148" s="10"/>
      <c r="H148" s="10"/>
      <c r="I148" s="10"/>
      <c r="J148" s="10"/>
      <c r="K148" s="10"/>
      <c r="L148" s="10"/>
      <c r="M148" s="10"/>
    </row>
    <row r="149" customFormat="false" ht="15" hidden="false" customHeight="false" outlineLevel="0" collapsed="false">
      <c r="A149" s="18"/>
      <c r="B149" s="10"/>
      <c r="C149" s="10"/>
      <c r="D149" s="10"/>
      <c r="E149" s="19"/>
      <c r="F149" s="10"/>
      <c r="G149" s="10"/>
      <c r="H149" s="10"/>
      <c r="I149" s="10"/>
      <c r="J149" s="10"/>
      <c r="K149" s="10"/>
      <c r="L149" s="10"/>
      <c r="M149" s="10"/>
    </row>
    <row r="150" customFormat="false" ht="15" hidden="false" customHeight="false" outlineLevel="0" collapsed="false">
      <c r="A150" s="18"/>
      <c r="B150" s="10"/>
      <c r="C150" s="10"/>
      <c r="D150" s="10"/>
      <c r="E150" s="19"/>
      <c r="F150" s="10"/>
      <c r="G150" s="10"/>
      <c r="H150" s="10"/>
      <c r="I150" s="10"/>
      <c r="J150" s="10"/>
      <c r="K150" s="10"/>
      <c r="L150" s="10"/>
      <c r="M150" s="10"/>
    </row>
    <row r="151" customFormat="false" ht="15" hidden="false" customHeight="false" outlineLevel="0" collapsed="false">
      <c r="A151" s="18"/>
      <c r="B151" s="10"/>
      <c r="C151" s="10"/>
      <c r="D151" s="10"/>
      <c r="E151" s="19"/>
      <c r="F151" s="10"/>
      <c r="G151" s="10"/>
      <c r="H151" s="10"/>
      <c r="I151" s="10"/>
      <c r="J151" s="10"/>
      <c r="K151" s="10"/>
      <c r="L151" s="10"/>
      <c r="M151" s="10"/>
    </row>
    <row r="152" customFormat="false" ht="15" hidden="false" customHeight="false" outlineLevel="0" collapsed="false">
      <c r="A152" s="18"/>
      <c r="B152" s="10"/>
      <c r="C152" s="10"/>
      <c r="D152" s="10"/>
      <c r="E152" s="19"/>
      <c r="F152" s="10"/>
      <c r="G152" s="10"/>
      <c r="H152" s="10"/>
      <c r="I152" s="10"/>
      <c r="J152" s="10"/>
      <c r="K152" s="10"/>
      <c r="L152" s="10"/>
      <c r="M152" s="10"/>
    </row>
    <row r="153" customFormat="false" ht="15" hidden="false" customHeight="false" outlineLevel="0" collapsed="false">
      <c r="A153" s="18"/>
      <c r="B153" s="10"/>
      <c r="C153" s="10"/>
      <c r="D153" s="10"/>
      <c r="E153" s="19"/>
      <c r="F153" s="10"/>
      <c r="G153" s="10"/>
      <c r="H153" s="10"/>
      <c r="I153" s="10"/>
      <c r="J153" s="10"/>
      <c r="K153" s="10"/>
      <c r="L153" s="10"/>
      <c r="M153" s="10"/>
    </row>
    <row r="154" customFormat="false" ht="15" hidden="false" customHeight="false" outlineLevel="0" collapsed="false">
      <c r="A154" s="18"/>
      <c r="B154" s="10"/>
      <c r="C154" s="10"/>
      <c r="D154" s="10"/>
      <c r="E154" s="19"/>
      <c r="F154" s="10"/>
      <c r="G154" s="10"/>
      <c r="H154" s="10"/>
      <c r="I154" s="10"/>
      <c r="J154" s="10"/>
      <c r="K154" s="10"/>
      <c r="L154" s="10"/>
      <c r="M154" s="10"/>
    </row>
    <row r="155" customFormat="false" ht="15" hidden="false" customHeight="false" outlineLevel="0" collapsed="false">
      <c r="A155" s="18"/>
      <c r="B155" s="10"/>
      <c r="C155" s="10"/>
      <c r="D155" s="10"/>
      <c r="E155" s="19"/>
      <c r="F155" s="10"/>
      <c r="G155" s="10"/>
      <c r="H155" s="10"/>
      <c r="I155" s="10"/>
      <c r="J155" s="10"/>
      <c r="K155" s="10"/>
      <c r="L155" s="10"/>
      <c r="M155" s="10"/>
    </row>
    <row r="156" customFormat="false" ht="15" hidden="false" customHeight="false" outlineLevel="0" collapsed="false">
      <c r="A156" s="18"/>
      <c r="B156" s="10"/>
      <c r="C156" s="10"/>
      <c r="D156" s="10"/>
      <c r="E156" s="19"/>
      <c r="F156" s="10"/>
      <c r="G156" s="10"/>
      <c r="H156" s="10"/>
      <c r="I156" s="10"/>
      <c r="J156" s="10"/>
      <c r="K156" s="10"/>
      <c r="L156" s="10"/>
      <c r="M156" s="10"/>
    </row>
    <row r="157" customFormat="false" ht="15" hidden="false" customHeight="false" outlineLevel="0" collapsed="false">
      <c r="A157" s="18"/>
      <c r="B157" s="10"/>
      <c r="C157" s="10"/>
      <c r="D157" s="10"/>
      <c r="E157" s="19"/>
      <c r="F157" s="10"/>
      <c r="G157" s="10"/>
      <c r="H157" s="10"/>
      <c r="I157" s="10"/>
      <c r="J157" s="10"/>
      <c r="K157" s="10"/>
      <c r="L157" s="10"/>
      <c r="M157" s="10"/>
    </row>
    <row r="158" customFormat="false" ht="15" hidden="false" customHeight="false" outlineLevel="0" collapsed="false">
      <c r="A158" s="18"/>
      <c r="B158" s="10"/>
      <c r="C158" s="10"/>
      <c r="D158" s="10"/>
      <c r="E158" s="19"/>
      <c r="F158" s="10"/>
      <c r="G158" s="10"/>
      <c r="H158" s="10"/>
      <c r="I158" s="10"/>
      <c r="J158" s="10"/>
      <c r="K158" s="10"/>
      <c r="L158" s="10"/>
      <c r="M158" s="10"/>
    </row>
    <row r="159" customFormat="false" ht="15" hidden="false" customHeight="false" outlineLevel="0" collapsed="false">
      <c r="A159" s="18"/>
      <c r="B159" s="10"/>
      <c r="C159" s="10"/>
      <c r="D159" s="10"/>
      <c r="E159" s="19"/>
      <c r="F159" s="10"/>
      <c r="G159" s="10"/>
      <c r="H159" s="10"/>
      <c r="I159" s="10"/>
      <c r="J159" s="10"/>
      <c r="K159" s="10"/>
      <c r="L159" s="10"/>
      <c r="M159" s="10"/>
    </row>
    <row r="160" customFormat="false" ht="15" hidden="false" customHeight="false" outlineLevel="0" collapsed="false">
      <c r="A160" s="18"/>
      <c r="B160" s="10"/>
      <c r="C160" s="10"/>
      <c r="D160" s="10"/>
      <c r="E160" s="19"/>
      <c r="F160" s="10"/>
      <c r="G160" s="10"/>
      <c r="H160" s="10"/>
      <c r="I160" s="10"/>
      <c r="J160" s="10"/>
      <c r="K160" s="10"/>
      <c r="L160" s="10"/>
      <c r="M160" s="10"/>
    </row>
    <row r="161" customFormat="false" ht="15" hidden="false" customHeight="false" outlineLevel="0" collapsed="false">
      <c r="A161" s="18"/>
      <c r="B161" s="10"/>
      <c r="C161" s="10"/>
      <c r="D161" s="10"/>
      <c r="E161" s="19"/>
      <c r="F161" s="10"/>
      <c r="G161" s="10"/>
      <c r="H161" s="10"/>
      <c r="I161" s="10"/>
      <c r="J161" s="10"/>
      <c r="K161" s="10"/>
      <c r="L161" s="10"/>
      <c r="M161" s="10"/>
    </row>
    <row r="162" customFormat="false" ht="15" hidden="false" customHeight="false" outlineLevel="0" collapsed="false">
      <c r="A162" s="18"/>
      <c r="B162" s="10"/>
      <c r="C162" s="10"/>
      <c r="D162" s="10"/>
      <c r="E162" s="19"/>
      <c r="F162" s="10"/>
      <c r="G162" s="10"/>
      <c r="H162" s="10"/>
      <c r="I162" s="10"/>
      <c r="J162" s="10"/>
      <c r="K162" s="10"/>
      <c r="L162" s="10"/>
      <c r="M162" s="10"/>
    </row>
    <row r="163" customFormat="false" ht="15" hidden="false" customHeight="false" outlineLevel="0" collapsed="false">
      <c r="A163" s="18"/>
      <c r="B163" s="10"/>
      <c r="C163" s="10"/>
      <c r="D163" s="10"/>
      <c r="E163" s="19"/>
      <c r="F163" s="10"/>
      <c r="G163" s="10"/>
      <c r="H163" s="10"/>
      <c r="I163" s="10"/>
      <c r="J163" s="10"/>
      <c r="K163" s="10"/>
      <c r="L163" s="10"/>
      <c r="M163" s="10"/>
    </row>
    <row r="164" customFormat="false" ht="15" hidden="false" customHeight="false" outlineLevel="0" collapsed="false">
      <c r="A164" s="18"/>
      <c r="B164" s="10"/>
      <c r="C164" s="10"/>
      <c r="D164" s="10"/>
      <c r="E164" s="19"/>
      <c r="F164" s="10"/>
      <c r="G164" s="10"/>
      <c r="H164" s="10"/>
      <c r="I164" s="10"/>
      <c r="J164" s="10"/>
      <c r="K164" s="10"/>
      <c r="L164" s="10"/>
      <c r="M164" s="10"/>
    </row>
    <row r="165" customFormat="false" ht="15" hidden="false" customHeight="false" outlineLevel="0" collapsed="false">
      <c r="A165" s="18"/>
      <c r="B165" s="10"/>
      <c r="C165" s="10"/>
      <c r="D165" s="10"/>
      <c r="E165" s="19"/>
      <c r="F165" s="10"/>
      <c r="G165" s="10"/>
      <c r="H165" s="10"/>
      <c r="I165" s="10"/>
      <c r="J165" s="10"/>
      <c r="K165" s="10"/>
      <c r="L165" s="10"/>
      <c r="M165" s="10"/>
    </row>
    <row r="166" customFormat="false" ht="15" hidden="false" customHeight="false" outlineLevel="0" collapsed="false">
      <c r="A166" s="18"/>
      <c r="B166" s="10"/>
      <c r="C166" s="10"/>
      <c r="D166" s="10"/>
      <c r="E166" s="19"/>
      <c r="F166" s="10"/>
      <c r="G166" s="10"/>
      <c r="H166" s="10"/>
      <c r="I166" s="10"/>
      <c r="J166" s="10"/>
      <c r="K166" s="10"/>
      <c r="L166" s="10"/>
      <c r="M166" s="10"/>
    </row>
    <row r="167" customFormat="false" ht="15" hidden="false" customHeight="false" outlineLevel="0" collapsed="false">
      <c r="A167" s="18"/>
      <c r="B167" s="10"/>
      <c r="C167" s="10"/>
      <c r="D167" s="10"/>
      <c r="E167" s="19"/>
      <c r="F167" s="10"/>
      <c r="G167" s="10"/>
      <c r="H167" s="10"/>
      <c r="I167" s="10"/>
      <c r="J167" s="10"/>
      <c r="K167" s="10"/>
      <c r="L167" s="10"/>
      <c r="M167" s="10"/>
    </row>
    <row r="168" customFormat="false" ht="15" hidden="false" customHeight="false" outlineLevel="0" collapsed="false">
      <c r="A168" s="18"/>
      <c r="B168" s="10"/>
      <c r="C168" s="10"/>
      <c r="D168" s="10"/>
      <c r="E168" s="19"/>
      <c r="F168" s="10"/>
      <c r="G168" s="10"/>
      <c r="H168" s="10"/>
      <c r="I168" s="10"/>
      <c r="J168" s="10"/>
      <c r="K168" s="10"/>
      <c r="L168" s="10"/>
      <c r="M168" s="10"/>
    </row>
    <row r="169" customFormat="false" ht="15" hidden="false" customHeight="false" outlineLevel="0" collapsed="false">
      <c r="A169" s="18"/>
      <c r="B169" s="10"/>
      <c r="C169" s="10"/>
      <c r="D169" s="10"/>
      <c r="E169" s="19"/>
      <c r="F169" s="10"/>
      <c r="G169" s="10"/>
      <c r="H169" s="10"/>
      <c r="I169" s="10"/>
      <c r="J169" s="10"/>
      <c r="K169" s="10"/>
      <c r="L169" s="10"/>
      <c r="M169" s="10"/>
    </row>
    <row r="170" customFormat="false" ht="15" hidden="false" customHeight="false" outlineLevel="0" collapsed="false">
      <c r="A170" s="18"/>
      <c r="B170" s="10"/>
      <c r="C170" s="10"/>
      <c r="D170" s="10"/>
      <c r="E170" s="19"/>
      <c r="F170" s="10"/>
      <c r="G170" s="10"/>
      <c r="H170" s="10"/>
      <c r="I170" s="10"/>
      <c r="J170" s="10"/>
      <c r="K170" s="10"/>
      <c r="L170" s="10"/>
      <c r="M170" s="10"/>
    </row>
    <row r="171" customFormat="false" ht="15" hidden="false" customHeight="false" outlineLevel="0" collapsed="false">
      <c r="A171" s="18"/>
      <c r="B171" s="10"/>
      <c r="C171" s="10"/>
      <c r="D171" s="10"/>
      <c r="E171" s="19"/>
      <c r="F171" s="10"/>
      <c r="G171" s="10"/>
      <c r="H171" s="10"/>
      <c r="I171" s="10"/>
      <c r="J171" s="10"/>
      <c r="K171" s="10"/>
      <c r="L171" s="10"/>
      <c r="M171" s="10"/>
    </row>
    <row r="172" customFormat="false" ht="15" hidden="false" customHeight="false" outlineLevel="0" collapsed="false">
      <c r="A172" s="18"/>
      <c r="B172" s="10"/>
      <c r="C172" s="10"/>
      <c r="D172" s="10"/>
      <c r="E172" s="19"/>
      <c r="F172" s="10"/>
      <c r="G172" s="10"/>
      <c r="H172" s="10"/>
      <c r="I172" s="10"/>
      <c r="J172" s="10"/>
      <c r="K172" s="10"/>
      <c r="L172" s="10"/>
      <c r="M172" s="10"/>
    </row>
    <row r="173" customFormat="false" ht="15" hidden="false" customHeight="false" outlineLevel="0" collapsed="false">
      <c r="A173" s="18"/>
      <c r="B173" s="10"/>
      <c r="C173" s="10"/>
      <c r="D173" s="10"/>
      <c r="E173" s="19"/>
      <c r="F173" s="10"/>
      <c r="G173" s="10"/>
      <c r="H173" s="10"/>
      <c r="I173" s="10"/>
      <c r="J173" s="10"/>
      <c r="K173" s="10"/>
      <c r="L173" s="10"/>
      <c r="M173" s="10"/>
    </row>
    <row r="174" customFormat="false" ht="15" hidden="false" customHeight="false" outlineLevel="0" collapsed="false">
      <c r="A174" s="18"/>
      <c r="B174" s="10"/>
      <c r="C174" s="10"/>
      <c r="D174" s="10"/>
      <c r="E174" s="19"/>
      <c r="F174" s="10"/>
      <c r="G174" s="10"/>
      <c r="H174" s="10"/>
      <c r="I174" s="10"/>
      <c r="J174" s="10"/>
      <c r="K174" s="10"/>
      <c r="L174" s="10"/>
      <c r="M174" s="10"/>
    </row>
    <row r="175" customFormat="false" ht="15" hidden="false" customHeight="false" outlineLevel="0" collapsed="false">
      <c r="A175" s="18"/>
      <c r="B175" s="10"/>
      <c r="C175" s="10"/>
      <c r="D175" s="10"/>
      <c r="E175" s="19"/>
      <c r="F175" s="10"/>
      <c r="G175" s="10"/>
      <c r="H175" s="10"/>
      <c r="I175" s="10"/>
      <c r="J175" s="10"/>
      <c r="K175" s="10"/>
      <c r="L175" s="10"/>
      <c r="M175" s="10"/>
    </row>
    <row r="176" customFormat="false" ht="15" hidden="false" customHeight="false" outlineLevel="0" collapsed="false">
      <c r="A176" s="18"/>
      <c r="B176" s="10"/>
      <c r="C176" s="10"/>
      <c r="D176" s="10"/>
      <c r="E176" s="19"/>
      <c r="F176" s="10"/>
      <c r="G176" s="10"/>
      <c r="H176" s="10"/>
      <c r="I176" s="10"/>
      <c r="J176" s="10"/>
      <c r="K176" s="10"/>
      <c r="L176" s="10"/>
      <c r="M176" s="10"/>
    </row>
    <row r="177" customFormat="false" ht="15" hidden="false" customHeight="false" outlineLevel="0" collapsed="false">
      <c r="A177" s="18"/>
      <c r="B177" s="10"/>
      <c r="C177" s="10"/>
      <c r="D177" s="10"/>
      <c r="E177" s="19"/>
      <c r="F177" s="10"/>
      <c r="G177" s="10"/>
      <c r="H177" s="10"/>
      <c r="I177" s="10"/>
      <c r="J177" s="10"/>
      <c r="K177" s="10"/>
      <c r="L177" s="10"/>
      <c r="M177" s="10"/>
    </row>
    <row r="178" customFormat="false" ht="15" hidden="false" customHeight="false" outlineLevel="0" collapsed="false">
      <c r="A178" s="18"/>
      <c r="B178" s="10"/>
      <c r="C178" s="10"/>
      <c r="D178" s="10"/>
      <c r="E178" s="19"/>
      <c r="F178" s="10"/>
      <c r="G178" s="10"/>
      <c r="H178" s="10"/>
      <c r="I178" s="10"/>
      <c r="J178" s="10"/>
      <c r="K178" s="10"/>
      <c r="L178" s="10"/>
      <c r="M178" s="10"/>
    </row>
    <row r="179" customFormat="false" ht="15" hidden="false" customHeight="false" outlineLevel="0" collapsed="false">
      <c r="A179" s="18"/>
      <c r="B179" s="10"/>
      <c r="C179" s="10"/>
      <c r="D179" s="10"/>
      <c r="E179" s="19"/>
      <c r="F179" s="10"/>
      <c r="G179" s="10"/>
      <c r="H179" s="10"/>
      <c r="I179" s="10"/>
      <c r="J179" s="10"/>
      <c r="K179" s="10"/>
      <c r="L179" s="10"/>
      <c r="M179" s="10"/>
    </row>
    <row r="180" customFormat="false" ht="15" hidden="false" customHeight="false" outlineLevel="0" collapsed="false">
      <c r="A180" s="18"/>
      <c r="B180" s="10"/>
      <c r="C180" s="10"/>
      <c r="D180" s="10"/>
      <c r="E180" s="19"/>
      <c r="F180" s="10"/>
      <c r="G180" s="10"/>
      <c r="H180" s="10"/>
      <c r="I180" s="10"/>
      <c r="J180" s="10"/>
      <c r="K180" s="10"/>
      <c r="L180" s="10"/>
      <c r="M180" s="10"/>
    </row>
    <row r="181" customFormat="false" ht="15" hidden="false" customHeight="false" outlineLevel="0" collapsed="false">
      <c r="A181" s="18"/>
      <c r="B181" s="10"/>
      <c r="C181" s="10"/>
      <c r="D181" s="10"/>
      <c r="E181" s="19"/>
      <c r="F181" s="10"/>
      <c r="G181" s="10"/>
      <c r="H181" s="10"/>
      <c r="I181" s="10"/>
      <c r="J181" s="10"/>
      <c r="K181" s="10"/>
      <c r="L181" s="10"/>
      <c r="M181" s="10"/>
    </row>
    <row r="182" customFormat="false" ht="15" hidden="false" customHeight="false" outlineLevel="0" collapsed="false">
      <c r="A182" s="18"/>
      <c r="B182" s="10"/>
      <c r="C182" s="10"/>
      <c r="D182" s="10"/>
      <c r="E182" s="19"/>
      <c r="F182" s="10"/>
      <c r="G182" s="10"/>
      <c r="H182" s="10"/>
      <c r="I182" s="10"/>
      <c r="J182" s="10"/>
      <c r="K182" s="10"/>
      <c r="L182" s="10"/>
      <c r="M182" s="10"/>
    </row>
    <row r="183" customFormat="false" ht="15" hidden="false" customHeight="false" outlineLevel="0" collapsed="false">
      <c r="A183" s="18"/>
      <c r="B183" s="10"/>
      <c r="C183" s="10"/>
      <c r="D183" s="10"/>
      <c r="E183" s="19"/>
      <c r="F183" s="10"/>
      <c r="G183" s="10"/>
      <c r="H183" s="10"/>
      <c r="I183" s="10"/>
      <c r="J183" s="10"/>
      <c r="K183" s="10"/>
      <c r="L183" s="10"/>
      <c r="M183" s="10"/>
    </row>
    <row r="184" customFormat="false" ht="15" hidden="false" customHeight="false" outlineLevel="0" collapsed="false">
      <c r="A184" s="18"/>
      <c r="B184" s="10"/>
      <c r="C184" s="10"/>
      <c r="D184" s="10"/>
      <c r="E184" s="19"/>
      <c r="F184" s="10"/>
      <c r="G184" s="10"/>
      <c r="H184" s="10"/>
      <c r="I184" s="10"/>
      <c r="J184" s="10"/>
      <c r="K184" s="10"/>
      <c r="L184" s="10"/>
      <c r="M184" s="10"/>
    </row>
    <row r="185" customFormat="false" ht="15" hidden="false" customHeight="false" outlineLevel="0" collapsed="false">
      <c r="A185" s="18"/>
      <c r="B185" s="10"/>
      <c r="C185" s="10"/>
      <c r="D185" s="10"/>
      <c r="E185" s="19"/>
      <c r="F185" s="10"/>
      <c r="G185" s="10"/>
      <c r="H185" s="10"/>
      <c r="I185" s="10"/>
      <c r="J185" s="10"/>
      <c r="K185" s="10"/>
      <c r="L185" s="10"/>
      <c r="M185" s="10"/>
    </row>
    <row r="186" customFormat="false" ht="15" hidden="false" customHeight="false" outlineLevel="0" collapsed="false">
      <c r="A186" s="18"/>
      <c r="B186" s="10"/>
      <c r="C186" s="10"/>
      <c r="D186" s="10"/>
      <c r="E186" s="19"/>
      <c r="F186" s="10"/>
      <c r="G186" s="10"/>
      <c r="H186" s="10"/>
      <c r="I186" s="10"/>
      <c r="J186" s="10"/>
      <c r="K186" s="10"/>
      <c r="L186" s="10"/>
      <c r="M186" s="10"/>
    </row>
    <row r="187" customFormat="false" ht="15" hidden="false" customHeight="false" outlineLevel="0" collapsed="false">
      <c r="A187" s="18"/>
      <c r="B187" s="10"/>
      <c r="C187" s="10"/>
      <c r="D187" s="10"/>
      <c r="E187" s="19"/>
      <c r="F187" s="10"/>
      <c r="G187" s="10"/>
      <c r="H187" s="10"/>
      <c r="I187" s="10"/>
      <c r="J187" s="10"/>
      <c r="K187" s="10"/>
      <c r="L187" s="10"/>
      <c r="M187" s="10"/>
    </row>
    <row r="188" customFormat="false" ht="15" hidden="false" customHeight="false" outlineLevel="0" collapsed="false">
      <c r="A188" s="18"/>
      <c r="B188" s="10"/>
      <c r="C188" s="10"/>
      <c r="D188" s="10"/>
      <c r="E188" s="19"/>
      <c r="F188" s="10"/>
      <c r="G188" s="10"/>
      <c r="H188" s="10"/>
      <c r="I188" s="10"/>
      <c r="J188" s="10"/>
      <c r="K188" s="10"/>
      <c r="L188" s="10"/>
      <c r="M188" s="10"/>
    </row>
    <row r="189" customFormat="false" ht="15" hidden="false" customHeight="false" outlineLevel="0" collapsed="false">
      <c r="A189" s="18"/>
      <c r="B189" s="10"/>
      <c r="C189" s="10"/>
      <c r="D189" s="10"/>
      <c r="E189" s="19"/>
      <c r="F189" s="10"/>
      <c r="G189" s="10"/>
      <c r="H189" s="10"/>
      <c r="I189" s="10"/>
      <c r="J189" s="10"/>
      <c r="K189" s="10"/>
      <c r="L189" s="10"/>
      <c r="M189" s="10"/>
    </row>
    <row r="190" customFormat="false" ht="15" hidden="false" customHeight="false" outlineLevel="0" collapsed="false">
      <c r="A190" s="18"/>
      <c r="B190" s="10"/>
      <c r="C190" s="10"/>
      <c r="D190" s="10"/>
      <c r="E190" s="19"/>
      <c r="F190" s="10"/>
      <c r="G190" s="10"/>
      <c r="H190" s="10"/>
      <c r="I190" s="10"/>
      <c r="J190" s="10"/>
      <c r="K190" s="10"/>
      <c r="L190" s="10"/>
      <c r="M190" s="10"/>
    </row>
    <row r="191" customFormat="false" ht="15" hidden="false" customHeight="false" outlineLevel="0" collapsed="false">
      <c r="A191" s="18"/>
      <c r="B191" s="10"/>
      <c r="C191" s="10"/>
      <c r="D191" s="10"/>
      <c r="E191" s="19"/>
      <c r="F191" s="10"/>
      <c r="G191" s="10"/>
      <c r="H191" s="10"/>
      <c r="I191" s="10"/>
      <c r="J191" s="10"/>
      <c r="K191" s="10"/>
      <c r="L191" s="10"/>
      <c r="M191" s="10"/>
    </row>
    <row r="192" customFormat="false" ht="15" hidden="false" customHeight="false" outlineLevel="0" collapsed="false">
      <c r="A192" s="18"/>
      <c r="B192" s="10"/>
      <c r="C192" s="10"/>
      <c r="D192" s="10"/>
      <c r="E192" s="19"/>
      <c r="F192" s="10"/>
      <c r="G192" s="10"/>
      <c r="H192" s="10"/>
      <c r="I192" s="10"/>
      <c r="J192" s="10"/>
      <c r="K192" s="10"/>
      <c r="L192" s="10"/>
      <c r="M192" s="10"/>
    </row>
    <row r="193" customFormat="false" ht="15" hidden="false" customHeight="false" outlineLevel="0" collapsed="false">
      <c r="A193" s="18"/>
      <c r="B193" s="10"/>
      <c r="C193" s="10"/>
      <c r="D193" s="10"/>
      <c r="E193" s="19"/>
      <c r="F193" s="10"/>
      <c r="G193" s="10"/>
      <c r="H193" s="10"/>
      <c r="I193" s="10"/>
      <c r="J193" s="10"/>
      <c r="K193" s="10"/>
      <c r="L193" s="10"/>
      <c r="M193" s="10"/>
    </row>
    <row r="194" customFormat="false" ht="15" hidden="false" customHeight="false" outlineLevel="0" collapsed="false">
      <c r="A194" s="18"/>
      <c r="B194" s="10"/>
      <c r="C194" s="10"/>
      <c r="D194" s="10"/>
      <c r="E194" s="19"/>
      <c r="F194" s="10"/>
      <c r="G194" s="10"/>
      <c r="H194" s="10"/>
      <c r="I194" s="10"/>
      <c r="J194" s="10"/>
      <c r="K194" s="10"/>
      <c r="L194" s="10"/>
      <c r="M194" s="10"/>
    </row>
    <row r="195" customFormat="false" ht="15" hidden="false" customHeight="false" outlineLevel="0" collapsed="false">
      <c r="A195" s="18"/>
      <c r="B195" s="10"/>
      <c r="C195" s="10"/>
      <c r="D195" s="10"/>
      <c r="E195" s="19"/>
      <c r="F195" s="10"/>
      <c r="G195" s="10"/>
      <c r="H195" s="10"/>
      <c r="I195" s="10"/>
      <c r="J195" s="10"/>
      <c r="K195" s="10"/>
      <c r="L195" s="10"/>
      <c r="M195" s="10"/>
    </row>
    <row r="196" customFormat="false" ht="15" hidden="false" customHeight="false" outlineLevel="0" collapsed="false">
      <c r="A196" s="18"/>
      <c r="B196" s="10"/>
      <c r="C196" s="10"/>
      <c r="D196" s="10"/>
      <c r="E196" s="19"/>
      <c r="F196" s="10"/>
      <c r="G196" s="10"/>
      <c r="H196" s="10"/>
      <c r="I196" s="10"/>
      <c r="J196" s="10"/>
      <c r="K196" s="10"/>
      <c r="L196" s="10"/>
      <c r="M196" s="10"/>
    </row>
    <row r="197" customFormat="false" ht="15" hidden="false" customHeight="false" outlineLevel="0" collapsed="false">
      <c r="A197" s="18"/>
      <c r="B197" s="10"/>
      <c r="C197" s="10"/>
      <c r="D197" s="10"/>
      <c r="E197" s="19"/>
      <c r="F197" s="10"/>
      <c r="G197" s="10"/>
      <c r="H197" s="10"/>
      <c r="I197" s="10"/>
      <c r="J197" s="10"/>
      <c r="K197" s="10"/>
      <c r="L197" s="10"/>
      <c r="M197" s="10"/>
    </row>
    <row r="198" customFormat="false" ht="15" hidden="false" customHeight="false" outlineLevel="0" collapsed="false">
      <c r="A198" s="18"/>
      <c r="B198" s="10"/>
      <c r="C198" s="10"/>
      <c r="D198" s="10"/>
      <c r="E198" s="19"/>
      <c r="F198" s="10"/>
      <c r="G198" s="10"/>
      <c r="H198" s="10"/>
      <c r="I198" s="10"/>
      <c r="J198" s="10"/>
      <c r="K198" s="10"/>
      <c r="L198" s="10"/>
      <c r="M198" s="10"/>
    </row>
    <row r="199" customFormat="false" ht="15" hidden="false" customHeight="false" outlineLevel="0" collapsed="false">
      <c r="A199" s="18"/>
      <c r="B199" s="10"/>
      <c r="C199" s="10"/>
      <c r="D199" s="10"/>
      <c r="E199" s="19"/>
      <c r="F199" s="10"/>
      <c r="G199" s="10"/>
      <c r="H199" s="10"/>
      <c r="I199" s="10"/>
      <c r="J199" s="10"/>
      <c r="K199" s="10"/>
      <c r="L199" s="10"/>
      <c r="M199" s="10"/>
    </row>
    <row r="200" customFormat="false" ht="15" hidden="false" customHeight="false" outlineLevel="0" collapsed="false">
      <c r="A200" s="18"/>
      <c r="B200" s="10"/>
      <c r="C200" s="10"/>
      <c r="D200" s="10"/>
      <c r="E200" s="19"/>
      <c r="F200" s="10"/>
      <c r="G200" s="10"/>
      <c r="H200" s="10"/>
      <c r="I200" s="10"/>
      <c r="J200" s="10"/>
      <c r="K200" s="10"/>
      <c r="L200" s="10"/>
      <c r="M200" s="10"/>
    </row>
    <row r="201" customFormat="false" ht="15" hidden="false" customHeight="false" outlineLevel="0" collapsed="false">
      <c r="A201" s="18"/>
      <c r="B201" s="10"/>
      <c r="C201" s="10"/>
      <c r="D201" s="10"/>
      <c r="E201" s="19"/>
      <c r="F201" s="10"/>
      <c r="G201" s="10"/>
      <c r="H201" s="10"/>
      <c r="I201" s="10"/>
      <c r="J201" s="10"/>
      <c r="K201" s="10"/>
      <c r="L201" s="10"/>
      <c r="M201" s="10"/>
    </row>
    <row r="202" customFormat="false" ht="15" hidden="false" customHeight="false" outlineLevel="0" collapsed="false">
      <c r="A202" s="18"/>
      <c r="B202" s="10"/>
      <c r="C202" s="10"/>
      <c r="D202" s="10"/>
      <c r="E202" s="19"/>
      <c r="F202" s="10"/>
      <c r="G202" s="10"/>
      <c r="H202" s="10"/>
      <c r="I202" s="10"/>
      <c r="J202" s="10"/>
      <c r="K202" s="10"/>
      <c r="L202" s="10"/>
      <c r="M202" s="10"/>
    </row>
    <row r="203" customFormat="false" ht="15" hidden="false" customHeight="false" outlineLevel="0" collapsed="false">
      <c r="A203" s="18"/>
      <c r="B203" s="10"/>
      <c r="C203" s="10"/>
      <c r="D203" s="10"/>
      <c r="E203" s="19"/>
      <c r="F203" s="10"/>
      <c r="G203" s="10"/>
      <c r="H203" s="10"/>
      <c r="I203" s="10"/>
      <c r="J203" s="10"/>
      <c r="K203" s="10"/>
      <c r="L203" s="10"/>
      <c r="M203" s="10"/>
    </row>
    <row r="204" customFormat="false" ht="15" hidden="false" customHeight="false" outlineLevel="0" collapsed="false">
      <c r="A204" s="18"/>
      <c r="B204" s="10"/>
      <c r="C204" s="10"/>
      <c r="D204" s="10"/>
      <c r="E204" s="19"/>
      <c r="F204" s="10"/>
      <c r="G204" s="10"/>
      <c r="H204" s="10"/>
      <c r="I204" s="10"/>
      <c r="J204" s="10"/>
      <c r="K204" s="10"/>
      <c r="L204" s="10"/>
      <c r="M204" s="10"/>
    </row>
  </sheetData>
  <mergeCells count="2">
    <mergeCell ref="A1:M1"/>
    <mergeCell ref="A2:M2"/>
  </mergeCells>
  <conditionalFormatting sqref="M5:M204">
    <cfRule type="expression" priority="2" aboveAverage="0" equalAverage="0" bottom="0" percent="0" rank="0" text="" dxfId="7">
      <formula>M5="Sí"</formula>
    </cfRule>
  </conditionalFormatting>
  <dataValidations count="2">
    <dataValidation allowBlank="false" errorStyle="stop" operator="between" showDropDown="false" showErrorMessage="false" showInputMessage="false" sqref="B5:B204" type="list">
      <formula1>"Requisito,Especificación,Modelo,Matriz de trazabilidad,Línea base,Plan,Caso de prueba,Otro"</formula1>
      <formula2>0</formula2>
    </dataValidation>
    <dataValidation allowBlank="false" errorStyle="stop" operator="between" showDropDown="false" showErrorMessage="false" showInputMessage="false" sqref="M5:M204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44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7"/>
    <col collapsed="false" customWidth="true" hidden="false" outlineLevel="0" max="10" min="10" style="1" width="40"/>
    <col collapsed="false" customWidth="true" hidden="false" outlineLevel="0" max="11" min="11" style="1" width="15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36"/>
  </cols>
  <sheetData>
    <row r="1" customFormat="false" ht="30" hidden="false" customHeight="true" outlineLevel="0" collapsed="false">
      <c r="A1" s="2" t="s">
        <v>454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3.75" hidden="false" customHeight="true" outlineLevel="0" collapsed="false">
      <c r="A2" s="3" t="s">
        <v>455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42" hidden="false" customHeight="true" outlineLevel="0" collapsed="false">
      <c r="A4" s="14" t="s">
        <v>456</v>
      </c>
      <c r="B4" s="9" t="s">
        <v>163</v>
      </c>
      <c r="C4" s="9" t="s">
        <v>457</v>
      </c>
      <c r="D4" s="9" t="s">
        <v>458</v>
      </c>
      <c r="E4" s="9" t="s">
        <v>459</v>
      </c>
      <c r="F4" s="9" t="s">
        <v>79</v>
      </c>
      <c r="G4" s="9" t="s">
        <v>460</v>
      </c>
      <c r="H4" s="9" t="s">
        <v>74</v>
      </c>
      <c r="I4" s="9" t="s">
        <v>461</v>
      </c>
      <c r="J4" s="9" t="s">
        <v>462</v>
      </c>
      <c r="K4" s="9" t="s">
        <v>374</v>
      </c>
      <c r="L4" s="9" t="s">
        <v>463</v>
      </c>
      <c r="M4" s="9" t="s">
        <v>464</v>
      </c>
      <c r="N4" s="9" t="s">
        <v>465</v>
      </c>
    </row>
    <row r="5" customFormat="false" ht="41.75" hidden="false" customHeight="false" outlineLevel="0" collapsed="false">
      <c r="A5" s="15" t="s">
        <v>466</v>
      </c>
      <c r="B5" s="16" t="s">
        <v>467</v>
      </c>
      <c r="C5" s="16" t="s">
        <v>183</v>
      </c>
      <c r="D5" s="16" t="s">
        <v>468</v>
      </c>
      <c r="E5" s="17" t="n">
        <v>46221</v>
      </c>
      <c r="F5" s="16" t="s">
        <v>194</v>
      </c>
      <c r="G5" s="16" t="s">
        <v>191</v>
      </c>
      <c r="H5" s="16" t="s">
        <v>469</v>
      </c>
      <c r="I5" s="17" t="n">
        <v>46228</v>
      </c>
      <c r="J5" s="16"/>
      <c r="K5" s="17"/>
      <c r="L5" s="16" t="n">
        <f aca="true">IF(A5="","",IF(K5&lt;&gt;"",K5-E5,TODAY()-E5))</f>
        <v>0</v>
      </c>
      <c r="M5" s="16" t="str">
        <f aca="true">IF(A5="","",IF(AND(H5&lt;&gt;"Cerrado",I5&lt;TODAY()),"Sí","No"))</f>
        <v>No</v>
      </c>
      <c r="N5" s="16" t="s">
        <v>470</v>
      </c>
    </row>
    <row r="6" customFormat="false" ht="41.75" hidden="false" customHeight="false" outlineLevel="0" collapsed="false">
      <c r="A6" s="18" t="s">
        <v>471</v>
      </c>
      <c r="B6" s="5" t="s">
        <v>467</v>
      </c>
      <c r="C6" s="10" t="s">
        <v>183</v>
      </c>
      <c r="D6" s="10" t="s">
        <v>472</v>
      </c>
      <c r="E6" s="19" t="n">
        <v>46221</v>
      </c>
      <c r="F6" s="10" t="s">
        <v>194</v>
      </c>
      <c r="G6" s="5" t="s">
        <v>191</v>
      </c>
      <c r="H6" s="5" t="s">
        <v>469</v>
      </c>
      <c r="I6" s="19" t="n">
        <v>46228</v>
      </c>
      <c r="J6" s="10"/>
      <c r="K6" s="19"/>
      <c r="L6" s="10" t="n">
        <f aca="true">IF(A6="","",IF(K6&lt;&gt;"",K6-E6,TODAY()-E6))</f>
        <v>0</v>
      </c>
      <c r="M6" s="10" t="str">
        <f aca="true">IF(A6="","",IF(AND(H6&lt;&gt;"Cerrado",I6&lt;TODAY()),"Sí","No"))</f>
        <v>No</v>
      </c>
      <c r="N6" s="10" t="s">
        <v>470</v>
      </c>
    </row>
    <row r="7" customFormat="false" ht="41.75" hidden="false" customHeight="false" outlineLevel="0" collapsed="false">
      <c r="A7" s="18" t="s">
        <v>473</v>
      </c>
      <c r="B7" s="5" t="s">
        <v>474</v>
      </c>
      <c r="C7" s="10" t="s">
        <v>200</v>
      </c>
      <c r="D7" s="10" t="s">
        <v>475</v>
      </c>
      <c r="E7" s="19" t="n">
        <v>46221</v>
      </c>
      <c r="F7" s="10" t="s">
        <v>194</v>
      </c>
      <c r="G7" s="5" t="s">
        <v>191</v>
      </c>
      <c r="H7" s="5" t="s">
        <v>469</v>
      </c>
      <c r="I7" s="19" t="n">
        <v>46228</v>
      </c>
      <c r="J7" s="10"/>
      <c r="K7" s="19"/>
      <c r="L7" s="10" t="n">
        <f aca="true">IF(A7="","",IF(K7&lt;&gt;"",K7-E7,TODAY()-E7))</f>
        <v>0</v>
      </c>
      <c r="M7" s="10" t="str">
        <f aca="true">IF(A7="","",IF(AND(H7&lt;&gt;"Cerrado",I7&lt;TODAY()),"Sí","No"))</f>
        <v>No</v>
      </c>
      <c r="N7" s="10" t="s">
        <v>476</v>
      </c>
    </row>
    <row r="8" customFormat="false" ht="41.75" hidden="false" customHeight="false" outlineLevel="0" collapsed="false">
      <c r="A8" s="18" t="s">
        <v>477</v>
      </c>
      <c r="B8" s="5" t="s">
        <v>474</v>
      </c>
      <c r="C8" s="10" t="s">
        <v>209</v>
      </c>
      <c r="D8" s="10" t="s">
        <v>478</v>
      </c>
      <c r="E8" s="19" t="n">
        <v>46221</v>
      </c>
      <c r="F8" s="10" t="s">
        <v>194</v>
      </c>
      <c r="G8" s="5" t="s">
        <v>479</v>
      </c>
      <c r="H8" s="5" t="s">
        <v>469</v>
      </c>
      <c r="I8" s="19" t="n">
        <v>46228</v>
      </c>
      <c r="J8" s="10"/>
      <c r="K8" s="19"/>
      <c r="L8" s="10" t="n">
        <f aca="true">IF(A8="","",IF(K8&lt;&gt;"",K8-E8,TODAY()-E8))</f>
        <v>0</v>
      </c>
      <c r="M8" s="10" t="str">
        <f aca="true">IF(A8="","",IF(AND(H8&lt;&gt;"Cerrado",I8&lt;TODAY()),"Sí","No"))</f>
        <v>No</v>
      </c>
      <c r="N8" s="10" t="s">
        <v>480</v>
      </c>
    </row>
    <row r="9" customFormat="false" ht="41.75" hidden="false" customHeight="false" outlineLevel="0" collapsed="false">
      <c r="A9" s="18" t="s">
        <v>481</v>
      </c>
      <c r="B9" s="5" t="s">
        <v>467</v>
      </c>
      <c r="C9" s="10" t="s">
        <v>209</v>
      </c>
      <c r="D9" s="10" t="s">
        <v>482</v>
      </c>
      <c r="E9" s="19" t="n">
        <v>46221</v>
      </c>
      <c r="F9" s="10" t="s">
        <v>194</v>
      </c>
      <c r="G9" s="5" t="s">
        <v>191</v>
      </c>
      <c r="H9" s="5" t="s">
        <v>469</v>
      </c>
      <c r="I9" s="19" t="n">
        <v>46228</v>
      </c>
      <c r="J9" s="10"/>
      <c r="K9" s="19"/>
      <c r="L9" s="10" t="n">
        <f aca="true">IF(A9="","",IF(K9&lt;&gt;"",K9-E9,TODAY()-E9))</f>
        <v>0</v>
      </c>
      <c r="M9" s="10" t="str">
        <f aca="true">IF(A9="","",IF(AND(H9&lt;&gt;"Cerrado",I9&lt;TODAY()),"Sí","No"))</f>
        <v>No</v>
      </c>
      <c r="N9" s="10" t="s">
        <v>480</v>
      </c>
    </row>
    <row r="10" customFormat="false" ht="41.75" hidden="false" customHeight="false" outlineLevel="0" collapsed="false">
      <c r="A10" s="18" t="s">
        <v>483</v>
      </c>
      <c r="B10" s="5" t="s">
        <v>467</v>
      </c>
      <c r="C10" s="10" t="s">
        <v>221</v>
      </c>
      <c r="D10" s="10" t="s">
        <v>484</v>
      </c>
      <c r="E10" s="19" t="n">
        <v>46221</v>
      </c>
      <c r="F10" s="10" t="s">
        <v>194</v>
      </c>
      <c r="G10" s="5" t="s">
        <v>191</v>
      </c>
      <c r="H10" s="5" t="s">
        <v>469</v>
      </c>
      <c r="I10" s="19" t="n">
        <v>46228</v>
      </c>
      <c r="J10" s="10"/>
      <c r="K10" s="19"/>
      <c r="L10" s="10" t="n">
        <f aca="true">IF(A10="","",IF(K10&lt;&gt;"",K10-E10,TODAY()-E10))</f>
        <v>0</v>
      </c>
      <c r="M10" s="10" t="str">
        <f aca="true">IF(A10="","",IF(AND(H10&lt;&gt;"Cerrado",I10&lt;TODAY()),"Sí","No"))</f>
        <v>No</v>
      </c>
      <c r="N10" s="10" t="s">
        <v>485</v>
      </c>
    </row>
    <row r="11" customFormat="false" ht="41.75" hidden="false" customHeight="false" outlineLevel="0" collapsed="false">
      <c r="A11" s="18" t="s">
        <v>486</v>
      </c>
      <c r="B11" s="5" t="s">
        <v>487</v>
      </c>
      <c r="C11" s="10" t="s">
        <v>229</v>
      </c>
      <c r="D11" s="10" t="s">
        <v>488</v>
      </c>
      <c r="E11" s="19" t="n">
        <v>46221</v>
      </c>
      <c r="F11" s="10" t="s">
        <v>194</v>
      </c>
      <c r="G11" s="5" t="s">
        <v>191</v>
      </c>
      <c r="H11" s="5" t="s">
        <v>469</v>
      </c>
      <c r="I11" s="19" t="n">
        <v>46228</v>
      </c>
      <c r="J11" s="10"/>
      <c r="K11" s="19"/>
      <c r="L11" s="10" t="n">
        <f aca="true">IF(A11="","",IF(K11&lt;&gt;"",K11-E11,TODAY()-E11))</f>
        <v>0</v>
      </c>
      <c r="M11" s="10" t="str">
        <f aca="true">IF(A11="","",IF(AND(H11&lt;&gt;"Cerrado",I11&lt;TODAY()),"Sí","No"))</f>
        <v>No</v>
      </c>
      <c r="N11" s="10" t="s">
        <v>489</v>
      </c>
    </row>
    <row r="12" customFormat="false" ht="41.75" hidden="false" customHeight="false" outlineLevel="0" collapsed="false">
      <c r="A12" s="18" t="s">
        <v>490</v>
      </c>
      <c r="B12" s="5" t="s">
        <v>467</v>
      </c>
      <c r="C12" s="10" t="s">
        <v>229</v>
      </c>
      <c r="D12" s="10" t="s">
        <v>491</v>
      </c>
      <c r="E12" s="19" t="n">
        <v>46221</v>
      </c>
      <c r="F12" s="10" t="s">
        <v>194</v>
      </c>
      <c r="G12" s="5" t="s">
        <v>191</v>
      </c>
      <c r="H12" s="5" t="s">
        <v>469</v>
      </c>
      <c r="I12" s="19" t="n">
        <v>46228</v>
      </c>
      <c r="J12" s="10"/>
      <c r="K12" s="19"/>
      <c r="L12" s="10" t="n">
        <f aca="true">IF(A12="","",IF(K12&lt;&gt;"",K12-E12,TODAY()-E12))</f>
        <v>0</v>
      </c>
      <c r="M12" s="10" t="str">
        <f aca="true">IF(A12="","",IF(AND(H12&lt;&gt;"Cerrado",I12&lt;TODAY()),"Sí","No"))</f>
        <v>No</v>
      </c>
      <c r="N12" s="10" t="s">
        <v>489</v>
      </c>
    </row>
    <row r="13" customFormat="false" ht="41.75" hidden="false" customHeight="false" outlineLevel="0" collapsed="false">
      <c r="A13" s="18" t="s">
        <v>492</v>
      </c>
      <c r="B13" s="5" t="s">
        <v>487</v>
      </c>
      <c r="C13" s="10" t="s">
        <v>229</v>
      </c>
      <c r="D13" s="10" t="s">
        <v>493</v>
      </c>
      <c r="E13" s="19" t="n">
        <v>46221</v>
      </c>
      <c r="F13" s="10" t="s">
        <v>194</v>
      </c>
      <c r="G13" s="5" t="s">
        <v>191</v>
      </c>
      <c r="H13" s="5" t="s">
        <v>469</v>
      </c>
      <c r="I13" s="19" t="n">
        <v>46228</v>
      </c>
      <c r="J13" s="10"/>
      <c r="K13" s="19"/>
      <c r="L13" s="10" t="n">
        <f aca="true">IF(A13="","",IF(K13&lt;&gt;"",K13-E13,TODAY()-E13))</f>
        <v>0</v>
      </c>
      <c r="M13" s="10" t="str">
        <f aca="true">IF(A13="","",IF(AND(H13&lt;&gt;"Cerrado",I13&lt;TODAY()),"Sí","No"))</f>
        <v>No</v>
      </c>
      <c r="N13" s="10" t="s">
        <v>489</v>
      </c>
    </row>
    <row r="14" customFormat="false" ht="41.75" hidden="false" customHeight="false" outlineLevel="0" collapsed="false">
      <c r="A14" s="18" t="s">
        <v>494</v>
      </c>
      <c r="B14" s="5" t="s">
        <v>467</v>
      </c>
      <c r="C14" s="10" t="s">
        <v>237</v>
      </c>
      <c r="D14" s="10" t="s">
        <v>495</v>
      </c>
      <c r="E14" s="19" t="n">
        <v>46221</v>
      </c>
      <c r="F14" s="10" t="s">
        <v>194</v>
      </c>
      <c r="G14" s="5" t="s">
        <v>191</v>
      </c>
      <c r="H14" s="5" t="s">
        <v>469</v>
      </c>
      <c r="I14" s="19" t="n">
        <v>46228</v>
      </c>
      <c r="J14" s="10"/>
      <c r="K14" s="19"/>
      <c r="L14" s="10" t="n">
        <f aca="true">IF(A14="","",IF(K14&lt;&gt;"",K14-E14,TODAY()-E14))</f>
        <v>0</v>
      </c>
      <c r="M14" s="10" t="str">
        <f aca="true">IF(A14="","",IF(AND(H14&lt;&gt;"Cerrado",I14&lt;TODAY()),"Sí","No"))</f>
        <v>No</v>
      </c>
      <c r="N14" s="10" t="s">
        <v>496</v>
      </c>
    </row>
    <row r="15" customFormat="false" ht="41.75" hidden="false" customHeight="false" outlineLevel="0" collapsed="false">
      <c r="A15" s="18" t="s">
        <v>497</v>
      </c>
      <c r="B15" s="5" t="s">
        <v>498</v>
      </c>
      <c r="C15" s="10" t="s">
        <v>247</v>
      </c>
      <c r="D15" s="10" t="s">
        <v>499</v>
      </c>
      <c r="E15" s="19" t="n">
        <v>46221</v>
      </c>
      <c r="F15" s="10" t="s">
        <v>194</v>
      </c>
      <c r="G15" s="5" t="s">
        <v>191</v>
      </c>
      <c r="H15" s="5" t="s">
        <v>469</v>
      </c>
      <c r="I15" s="19" t="n">
        <v>46228</v>
      </c>
      <c r="J15" s="10"/>
      <c r="K15" s="19"/>
      <c r="L15" s="10" t="n">
        <f aca="true">IF(A15="","",IF(K15&lt;&gt;"",K15-E15,TODAY()-E15))</f>
        <v>0</v>
      </c>
      <c r="M15" s="10" t="str">
        <f aca="true">IF(A15="","",IF(AND(H15&lt;&gt;"Cerrado",I15&lt;TODAY()),"Sí","No"))</f>
        <v>No</v>
      </c>
      <c r="N15" s="10" t="s">
        <v>500</v>
      </c>
    </row>
    <row r="16" customFormat="false" ht="41.75" hidden="false" customHeight="false" outlineLevel="0" collapsed="false">
      <c r="A16" s="18" t="s">
        <v>501</v>
      </c>
      <c r="B16" s="5" t="s">
        <v>467</v>
      </c>
      <c r="C16" s="10" t="s">
        <v>247</v>
      </c>
      <c r="D16" s="10" t="s">
        <v>502</v>
      </c>
      <c r="E16" s="19" t="n">
        <v>46221</v>
      </c>
      <c r="F16" s="10" t="s">
        <v>194</v>
      </c>
      <c r="G16" s="5" t="s">
        <v>479</v>
      </c>
      <c r="H16" s="5" t="s">
        <v>469</v>
      </c>
      <c r="I16" s="19" t="n">
        <v>46228</v>
      </c>
      <c r="J16" s="10"/>
      <c r="K16" s="19"/>
      <c r="L16" s="10" t="n">
        <f aca="true">IF(A16="","",IF(K16&lt;&gt;"",K16-E16,TODAY()-E16))</f>
        <v>0</v>
      </c>
      <c r="M16" s="10" t="str">
        <f aca="true">IF(A16="","",IF(AND(H16&lt;&gt;"Cerrado",I16&lt;TODAY()),"Sí","No"))</f>
        <v>No</v>
      </c>
      <c r="N16" s="10" t="s">
        <v>500</v>
      </c>
    </row>
    <row r="17" customFormat="false" ht="41.75" hidden="false" customHeight="false" outlineLevel="0" collapsed="false">
      <c r="A17" s="18" t="s">
        <v>503</v>
      </c>
      <c r="B17" s="5" t="s">
        <v>487</v>
      </c>
      <c r="C17" s="10" t="s">
        <v>256</v>
      </c>
      <c r="D17" s="10" t="s">
        <v>504</v>
      </c>
      <c r="E17" s="19" t="n">
        <v>46221</v>
      </c>
      <c r="F17" s="10" t="s">
        <v>194</v>
      </c>
      <c r="G17" s="5" t="s">
        <v>191</v>
      </c>
      <c r="H17" s="5" t="s">
        <v>469</v>
      </c>
      <c r="I17" s="19" t="n">
        <v>46228</v>
      </c>
      <c r="J17" s="10"/>
      <c r="K17" s="19"/>
      <c r="L17" s="10" t="n">
        <f aca="true">IF(A17="","",IF(K17&lt;&gt;"",K17-E17,TODAY()-E17))</f>
        <v>0</v>
      </c>
      <c r="M17" s="10" t="str">
        <f aca="true">IF(A17="","",IF(AND(H17&lt;&gt;"Cerrado",I17&lt;TODAY()),"Sí","No"))</f>
        <v>No</v>
      </c>
      <c r="N17" s="10" t="s">
        <v>505</v>
      </c>
    </row>
    <row r="18" customFormat="false" ht="41.75" hidden="false" customHeight="false" outlineLevel="0" collapsed="false">
      <c r="A18" s="18" t="s">
        <v>506</v>
      </c>
      <c r="B18" s="5" t="s">
        <v>487</v>
      </c>
      <c r="C18" s="10" t="s">
        <v>256</v>
      </c>
      <c r="D18" s="10" t="s">
        <v>507</v>
      </c>
      <c r="E18" s="19" t="n">
        <v>46221</v>
      </c>
      <c r="F18" s="10" t="s">
        <v>194</v>
      </c>
      <c r="G18" s="5" t="s">
        <v>191</v>
      </c>
      <c r="H18" s="5" t="s">
        <v>469</v>
      </c>
      <c r="I18" s="19" t="n">
        <v>46228</v>
      </c>
      <c r="J18" s="10"/>
      <c r="K18" s="19"/>
      <c r="L18" s="10" t="n">
        <f aca="true">IF(A18="","",IF(K18&lt;&gt;"",K18-E18,TODAY()-E18))</f>
        <v>0</v>
      </c>
      <c r="M18" s="10" t="str">
        <f aca="true">IF(A18="","",IF(AND(H18&lt;&gt;"Cerrado",I18&lt;TODAY()),"Sí","No"))</f>
        <v>No</v>
      </c>
      <c r="N18" s="10" t="s">
        <v>505</v>
      </c>
    </row>
    <row r="19" customFormat="false" ht="41.75" hidden="false" customHeight="false" outlineLevel="0" collapsed="false">
      <c r="A19" s="18" t="s">
        <v>508</v>
      </c>
      <c r="B19" s="5" t="s">
        <v>467</v>
      </c>
      <c r="C19" s="10" t="s">
        <v>265</v>
      </c>
      <c r="D19" s="10" t="s">
        <v>509</v>
      </c>
      <c r="E19" s="19" t="n">
        <v>46221</v>
      </c>
      <c r="F19" s="10" t="s">
        <v>194</v>
      </c>
      <c r="G19" s="5" t="s">
        <v>479</v>
      </c>
      <c r="H19" s="5" t="s">
        <v>469</v>
      </c>
      <c r="I19" s="19" t="n">
        <v>46228</v>
      </c>
      <c r="J19" s="10"/>
      <c r="K19" s="19"/>
      <c r="L19" s="10" t="n">
        <f aca="true">IF(A19="","",IF(K19&lt;&gt;"",K19-E19,TODAY()-E19))</f>
        <v>0</v>
      </c>
      <c r="M19" s="10" t="str">
        <f aca="true">IF(A19="","",IF(AND(H19&lt;&gt;"Cerrado",I19&lt;TODAY()),"Sí","No"))</f>
        <v>No</v>
      </c>
      <c r="N19" s="10" t="s">
        <v>510</v>
      </c>
    </row>
    <row r="20" customFormat="false" ht="41.75" hidden="false" customHeight="false" outlineLevel="0" collapsed="false">
      <c r="A20" s="18" t="s">
        <v>511</v>
      </c>
      <c r="B20" s="5" t="s">
        <v>498</v>
      </c>
      <c r="C20" s="10" t="s">
        <v>273</v>
      </c>
      <c r="D20" s="10" t="s">
        <v>512</v>
      </c>
      <c r="E20" s="19" t="n">
        <v>46221</v>
      </c>
      <c r="F20" s="10" t="s">
        <v>194</v>
      </c>
      <c r="G20" s="5" t="s">
        <v>479</v>
      </c>
      <c r="H20" s="5" t="s">
        <v>469</v>
      </c>
      <c r="I20" s="19" t="n">
        <v>46228</v>
      </c>
      <c r="J20" s="10"/>
      <c r="K20" s="19"/>
      <c r="L20" s="10" t="n">
        <f aca="true">IF(A20="","",IF(K20&lt;&gt;"",K20-E20,TODAY()-E20))</f>
        <v>0</v>
      </c>
      <c r="M20" s="10" t="str">
        <f aca="true">IF(A20="","",IF(AND(H20&lt;&gt;"Cerrado",I20&lt;TODAY()),"Sí","No"))</f>
        <v>No</v>
      </c>
      <c r="N20" s="10" t="s">
        <v>513</v>
      </c>
    </row>
    <row r="21" customFormat="false" ht="41.75" hidden="false" customHeight="false" outlineLevel="0" collapsed="false">
      <c r="A21" s="18" t="s">
        <v>514</v>
      </c>
      <c r="B21" s="5" t="s">
        <v>467</v>
      </c>
      <c r="C21" s="10" t="s">
        <v>273</v>
      </c>
      <c r="D21" s="10" t="s">
        <v>515</v>
      </c>
      <c r="E21" s="19" t="n">
        <v>46221</v>
      </c>
      <c r="F21" s="10" t="s">
        <v>194</v>
      </c>
      <c r="G21" s="5" t="s">
        <v>191</v>
      </c>
      <c r="H21" s="5" t="s">
        <v>469</v>
      </c>
      <c r="I21" s="19" t="n">
        <v>46228</v>
      </c>
      <c r="J21" s="10"/>
      <c r="K21" s="19"/>
      <c r="L21" s="10" t="n">
        <f aca="true">IF(A21="","",IF(K21&lt;&gt;"",K21-E21,TODAY()-E21))</f>
        <v>0</v>
      </c>
      <c r="M21" s="10" t="str">
        <f aca="true">IF(A21="","",IF(AND(H21&lt;&gt;"Cerrado",I21&lt;TODAY()),"Sí","No"))</f>
        <v>No</v>
      </c>
      <c r="N21" s="10" t="s">
        <v>513</v>
      </c>
    </row>
    <row r="22" customFormat="false" ht="41.75" hidden="false" customHeight="false" outlineLevel="0" collapsed="false">
      <c r="A22" s="18" t="s">
        <v>516</v>
      </c>
      <c r="B22" s="5" t="s">
        <v>467</v>
      </c>
      <c r="C22" s="10" t="s">
        <v>294</v>
      </c>
      <c r="D22" s="10" t="s">
        <v>517</v>
      </c>
      <c r="E22" s="19" t="n">
        <v>46221</v>
      </c>
      <c r="F22" s="10" t="s">
        <v>194</v>
      </c>
      <c r="G22" s="5" t="s">
        <v>191</v>
      </c>
      <c r="H22" s="5" t="s">
        <v>469</v>
      </c>
      <c r="I22" s="19" t="n">
        <v>46228</v>
      </c>
      <c r="J22" s="10"/>
      <c r="K22" s="19"/>
      <c r="L22" s="10" t="n">
        <f aca="true">IF(A22="","",IF(K22&lt;&gt;"",K22-E22,TODAY()-E22))</f>
        <v>0</v>
      </c>
      <c r="M22" s="10" t="str">
        <f aca="true">IF(A22="","",IF(AND(H22&lt;&gt;"Cerrado",I22&lt;TODAY()),"Sí","No"))</f>
        <v>No</v>
      </c>
      <c r="N22" s="10" t="s">
        <v>518</v>
      </c>
    </row>
    <row r="23" customFormat="false" ht="15" hidden="false" customHeight="false" outlineLevel="0" collapsed="false">
      <c r="A23" s="18"/>
      <c r="B23" s="5"/>
      <c r="C23" s="10"/>
      <c r="D23" s="10"/>
      <c r="E23" s="19"/>
      <c r="F23" s="10"/>
      <c r="G23" s="5"/>
      <c r="H23" s="5"/>
      <c r="I23" s="19"/>
      <c r="J23" s="10"/>
      <c r="K23" s="19"/>
      <c r="L23" s="10" t="str">
        <f aca="true">IF(A23="","",IF(K23&lt;&gt;"",K23-E23,TODAY()-E23))</f>
        <v/>
      </c>
      <c r="M23" s="10" t="str">
        <f aca="true">IF(A23="","",IF(AND(H23&lt;&gt;"Cerrado",I23&lt;TODAY()),"Sí","No"))</f>
        <v/>
      </c>
      <c r="N23" s="10"/>
    </row>
    <row r="24" customFormat="false" ht="15" hidden="false" customHeight="false" outlineLevel="0" collapsed="false">
      <c r="A24" s="18"/>
      <c r="B24" s="5"/>
      <c r="C24" s="10"/>
      <c r="D24" s="10"/>
      <c r="E24" s="19"/>
      <c r="F24" s="10"/>
      <c r="G24" s="5"/>
      <c r="H24" s="5"/>
      <c r="I24" s="19"/>
      <c r="J24" s="10"/>
      <c r="K24" s="19"/>
      <c r="L24" s="10" t="str">
        <f aca="true">IF(A24="","",IF(K24&lt;&gt;"",K24-E24,TODAY()-E24))</f>
        <v/>
      </c>
      <c r="M24" s="10" t="str">
        <f aca="true">IF(A24="","",IF(AND(H24&lt;&gt;"Cerrado",I24&lt;TODAY()),"Sí","No"))</f>
        <v/>
      </c>
      <c r="N24" s="10"/>
    </row>
    <row r="25" customFormat="false" ht="15" hidden="false" customHeight="false" outlineLevel="0" collapsed="false">
      <c r="A25" s="18"/>
      <c r="B25" s="5"/>
      <c r="C25" s="10"/>
      <c r="D25" s="10"/>
      <c r="E25" s="19"/>
      <c r="F25" s="10"/>
      <c r="G25" s="5"/>
      <c r="H25" s="5"/>
      <c r="I25" s="19"/>
      <c r="J25" s="10"/>
      <c r="K25" s="19"/>
      <c r="L25" s="10" t="str">
        <f aca="true">IF(A25="","",IF(K25&lt;&gt;"",K25-E25,TODAY()-E25))</f>
        <v/>
      </c>
      <c r="M25" s="10" t="str">
        <f aca="true">IF(A25="","",IF(AND(H25&lt;&gt;"Cerrado",I25&lt;TODAY()),"Sí","No"))</f>
        <v/>
      </c>
      <c r="N25" s="10"/>
    </row>
    <row r="26" customFormat="false" ht="15" hidden="false" customHeight="false" outlineLevel="0" collapsed="false">
      <c r="A26" s="18"/>
      <c r="B26" s="5"/>
      <c r="C26" s="10"/>
      <c r="D26" s="10"/>
      <c r="E26" s="19"/>
      <c r="F26" s="10"/>
      <c r="G26" s="5"/>
      <c r="H26" s="5"/>
      <c r="I26" s="19"/>
      <c r="J26" s="10"/>
      <c r="K26" s="19"/>
      <c r="L26" s="10" t="str">
        <f aca="true">IF(A26="","",IF(K26&lt;&gt;"",K26-E26,TODAY()-E26))</f>
        <v/>
      </c>
      <c r="M26" s="10" t="str">
        <f aca="true">IF(A26="","",IF(AND(H26&lt;&gt;"Cerrado",I26&lt;TODAY()),"Sí","No"))</f>
        <v/>
      </c>
      <c r="N26" s="10"/>
    </row>
    <row r="27" customFormat="false" ht="15" hidden="false" customHeight="false" outlineLevel="0" collapsed="false">
      <c r="A27" s="18"/>
      <c r="B27" s="5"/>
      <c r="C27" s="10"/>
      <c r="D27" s="10"/>
      <c r="E27" s="19"/>
      <c r="F27" s="10"/>
      <c r="G27" s="5"/>
      <c r="H27" s="5"/>
      <c r="I27" s="19"/>
      <c r="J27" s="10"/>
      <c r="K27" s="19"/>
      <c r="L27" s="10" t="str">
        <f aca="true">IF(A27="","",IF(K27&lt;&gt;"",K27-E27,TODAY()-E27))</f>
        <v/>
      </c>
      <c r="M27" s="10" t="str">
        <f aca="true">IF(A27="","",IF(AND(H27&lt;&gt;"Cerrado",I27&lt;TODAY()),"Sí","No"))</f>
        <v/>
      </c>
      <c r="N27" s="10"/>
    </row>
    <row r="28" customFormat="false" ht="15" hidden="false" customHeight="false" outlineLevel="0" collapsed="false">
      <c r="A28" s="18"/>
      <c r="B28" s="5"/>
      <c r="C28" s="10"/>
      <c r="D28" s="10"/>
      <c r="E28" s="19"/>
      <c r="F28" s="10"/>
      <c r="G28" s="5"/>
      <c r="H28" s="5"/>
      <c r="I28" s="19"/>
      <c r="J28" s="10"/>
      <c r="K28" s="19"/>
      <c r="L28" s="10" t="str">
        <f aca="true">IF(A28="","",IF(K28&lt;&gt;"",K28-E28,TODAY()-E28))</f>
        <v/>
      </c>
      <c r="M28" s="10" t="str">
        <f aca="true">IF(A28="","",IF(AND(H28&lt;&gt;"Cerrado",I28&lt;TODAY()),"Sí","No"))</f>
        <v/>
      </c>
      <c r="N28" s="10"/>
    </row>
    <row r="29" customFormat="false" ht="15" hidden="false" customHeight="false" outlineLevel="0" collapsed="false">
      <c r="A29" s="18"/>
      <c r="B29" s="5"/>
      <c r="C29" s="10"/>
      <c r="D29" s="10"/>
      <c r="E29" s="19"/>
      <c r="F29" s="10"/>
      <c r="G29" s="5"/>
      <c r="H29" s="5"/>
      <c r="I29" s="19"/>
      <c r="J29" s="10"/>
      <c r="K29" s="19"/>
      <c r="L29" s="10" t="str">
        <f aca="true">IF(A29="","",IF(K29&lt;&gt;"",K29-E29,TODAY()-E29))</f>
        <v/>
      </c>
      <c r="M29" s="10" t="str">
        <f aca="true">IF(A29="","",IF(AND(H29&lt;&gt;"Cerrado",I29&lt;TODAY()),"Sí","No"))</f>
        <v/>
      </c>
      <c r="N29" s="10"/>
    </row>
    <row r="30" customFormat="false" ht="15" hidden="false" customHeight="false" outlineLevel="0" collapsed="false">
      <c r="A30" s="18"/>
      <c r="B30" s="5"/>
      <c r="C30" s="10"/>
      <c r="D30" s="10"/>
      <c r="E30" s="19"/>
      <c r="F30" s="10"/>
      <c r="G30" s="5"/>
      <c r="H30" s="5"/>
      <c r="I30" s="19"/>
      <c r="J30" s="10"/>
      <c r="K30" s="19"/>
      <c r="L30" s="10" t="str">
        <f aca="true">IF(A30="","",IF(K30&lt;&gt;"",K30-E30,TODAY()-E30))</f>
        <v/>
      </c>
      <c r="M30" s="10" t="str">
        <f aca="true">IF(A30="","",IF(AND(H30&lt;&gt;"Cerrado",I30&lt;TODAY()),"Sí","No"))</f>
        <v/>
      </c>
      <c r="N30" s="10"/>
    </row>
    <row r="31" customFormat="false" ht="15" hidden="false" customHeight="false" outlineLevel="0" collapsed="false">
      <c r="A31" s="18"/>
      <c r="B31" s="5"/>
      <c r="C31" s="10"/>
      <c r="D31" s="10"/>
      <c r="E31" s="19"/>
      <c r="F31" s="10"/>
      <c r="G31" s="5"/>
      <c r="H31" s="5"/>
      <c r="I31" s="19"/>
      <c r="J31" s="10"/>
      <c r="K31" s="19"/>
      <c r="L31" s="10" t="str">
        <f aca="true">IF(A31="","",IF(K31&lt;&gt;"",K31-E31,TODAY()-E31))</f>
        <v/>
      </c>
      <c r="M31" s="10" t="str">
        <f aca="true">IF(A31="","",IF(AND(H31&lt;&gt;"Cerrado",I31&lt;TODAY()),"Sí","No"))</f>
        <v/>
      </c>
      <c r="N31" s="10"/>
    </row>
    <row r="32" customFormat="false" ht="15" hidden="false" customHeight="false" outlineLevel="0" collapsed="false">
      <c r="A32" s="18"/>
      <c r="B32" s="5"/>
      <c r="C32" s="10"/>
      <c r="D32" s="10"/>
      <c r="E32" s="19"/>
      <c r="F32" s="10"/>
      <c r="G32" s="5"/>
      <c r="H32" s="5"/>
      <c r="I32" s="19"/>
      <c r="J32" s="10"/>
      <c r="K32" s="19"/>
      <c r="L32" s="10" t="str">
        <f aca="true">IF(A32="","",IF(K32&lt;&gt;"",K32-E32,TODAY()-E32))</f>
        <v/>
      </c>
      <c r="M32" s="10" t="str">
        <f aca="true">IF(A32="","",IF(AND(H32&lt;&gt;"Cerrado",I32&lt;TODAY()),"Sí","No"))</f>
        <v/>
      </c>
      <c r="N32" s="10"/>
    </row>
    <row r="33" customFormat="false" ht="15" hidden="false" customHeight="false" outlineLevel="0" collapsed="false">
      <c r="A33" s="18"/>
      <c r="B33" s="5"/>
      <c r="C33" s="10"/>
      <c r="D33" s="10"/>
      <c r="E33" s="19"/>
      <c r="F33" s="10"/>
      <c r="G33" s="5"/>
      <c r="H33" s="5"/>
      <c r="I33" s="19"/>
      <c r="J33" s="10"/>
      <c r="K33" s="19"/>
      <c r="L33" s="10" t="str">
        <f aca="true">IF(A33="","",IF(K33&lt;&gt;"",K33-E33,TODAY()-E33))</f>
        <v/>
      </c>
      <c r="M33" s="10" t="str">
        <f aca="true">IF(A33="","",IF(AND(H33&lt;&gt;"Cerrado",I33&lt;TODAY()),"Sí","No"))</f>
        <v/>
      </c>
      <c r="N33" s="10"/>
    </row>
    <row r="34" customFormat="false" ht="15" hidden="false" customHeight="false" outlineLevel="0" collapsed="false">
      <c r="A34" s="18"/>
      <c r="B34" s="5"/>
      <c r="C34" s="10"/>
      <c r="D34" s="10"/>
      <c r="E34" s="19"/>
      <c r="F34" s="10"/>
      <c r="G34" s="5"/>
      <c r="H34" s="5"/>
      <c r="I34" s="19"/>
      <c r="J34" s="10"/>
      <c r="K34" s="19"/>
      <c r="L34" s="10" t="str">
        <f aca="true">IF(A34="","",IF(K34&lt;&gt;"",K34-E34,TODAY()-E34))</f>
        <v/>
      </c>
      <c r="M34" s="10" t="str">
        <f aca="true">IF(A34="","",IF(AND(H34&lt;&gt;"Cerrado",I34&lt;TODAY()),"Sí","No"))</f>
        <v/>
      </c>
      <c r="N34" s="10"/>
    </row>
    <row r="35" customFormat="false" ht="15" hidden="false" customHeight="false" outlineLevel="0" collapsed="false">
      <c r="A35" s="18"/>
      <c r="B35" s="5"/>
      <c r="C35" s="10"/>
      <c r="D35" s="10"/>
      <c r="E35" s="19"/>
      <c r="F35" s="10"/>
      <c r="G35" s="5"/>
      <c r="H35" s="5"/>
      <c r="I35" s="19"/>
      <c r="J35" s="10"/>
      <c r="K35" s="19"/>
      <c r="L35" s="10" t="str">
        <f aca="true">IF(A35="","",IF(K35&lt;&gt;"",K35-E35,TODAY()-E35))</f>
        <v/>
      </c>
      <c r="M35" s="10" t="str">
        <f aca="true">IF(A35="","",IF(AND(H35&lt;&gt;"Cerrado",I35&lt;TODAY()),"Sí","No"))</f>
        <v/>
      </c>
      <c r="N35" s="10"/>
    </row>
    <row r="36" customFormat="false" ht="15" hidden="false" customHeight="false" outlineLevel="0" collapsed="false">
      <c r="A36" s="18"/>
      <c r="B36" s="5"/>
      <c r="C36" s="10"/>
      <c r="D36" s="10"/>
      <c r="E36" s="19"/>
      <c r="F36" s="10"/>
      <c r="G36" s="5"/>
      <c r="H36" s="5"/>
      <c r="I36" s="19"/>
      <c r="J36" s="10"/>
      <c r="K36" s="19"/>
      <c r="L36" s="10" t="str">
        <f aca="true">IF(A36="","",IF(K36&lt;&gt;"",K36-E36,TODAY()-E36))</f>
        <v/>
      </c>
      <c r="M36" s="10" t="str">
        <f aca="true">IF(A36="","",IF(AND(H36&lt;&gt;"Cerrado",I36&lt;TODAY()),"Sí","No"))</f>
        <v/>
      </c>
      <c r="N36" s="10"/>
    </row>
    <row r="37" customFormat="false" ht="15" hidden="false" customHeight="false" outlineLevel="0" collapsed="false">
      <c r="A37" s="18"/>
      <c r="B37" s="5"/>
      <c r="C37" s="10"/>
      <c r="D37" s="10"/>
      <c r="E37" s="19"/>
      <c r="F37" s="10"/>
      <c r="G37" s="5"/>
      <c r="H37" s="5"/>
      <c r="I37" s="19"/>
      <c r="J37" s="10"/>
      <c r="K37" s="19"/>
      <c r="L37" s="10" t="str">
        <f aca="true">IF(A37="","",IF(K37&lt;&gt;"",K37-E37,TODAY()-E37))</f>
        <v/>
      </c>
      <c r="M37" s="10" t="str">
        <f aca="true">IF(A37="","",IF(AND(H37&lt;&gt;"Cerrado",I37&lt;TODAY()),"Sí","No"))</f>
        <v/>
      </c>
      <c r="N37" s="10"/>
    </row>
    <row r="38" customFormat="false" ht="15" hidden="false" customHeight="false" outlineLevel="0" collapsed="false">
      <c r="A38" s="18"/>
      <c r="B38" s="5"/>
      <c r="C38" s="10"/>
      <c r="D38" s="10"/>
      <c r="E38" s="19"/>
      <c r="F38" s="10"/>
      <c r="G38" s="5"/>
      <c r="H38" s="5"/>
      <c r="I38" s="19"/>
      <c r="J38" s="10"/>
      <c r="K38" s="19"/>
      <c r="L38" s="10" t="str">
        <f aca="true">IF(A38="","",IF(K38&lt;&gt;"",K38-E38,TODAY()-E38))</f>
        <v/>
      </c>
      <c r="M38" s="10" t="str">
        <f aca="true">IF(A38="","",IF(AND(H38&lt;&gt;"Cerrado",I38&lt;TODAY()),"Sí","No"))</f>
        <v/>
      </c>
      <c r="N38" s="10"/>
    </row>
    <row r="39" customFormat="false" ht="15" hidden="false" customHeight="false" outlineLevel="0" collapsed="false">
      <c r="A39" s="18"/>
      <c r="B39" s="5"/>
      <c r="C39" s="10"/>
      <c r="D39" s="10"/>
      <c r="E39" s="19"/>
      <c r="F39" s="10"/>
      <c r="G39" s="5"/>
      <c r="H39" s="5"/>
      <c r="I39" s="19"/>
      <c r="J39" s="10"/>
      <c r="K39" s="19"/>
      <c r="L39" s="10" t="str">
        <f aca="true">IF(A39="","",IF(K39&lt;&gt;"",K39-E39,TODAY()-E39))</f>
        <v/>
      </c>
      <c r="M39" s="10" t="str">
        <f aca="true">IF(A39="","",IF(AND(H39&lt;&gt;"Cerrado",I39&lt;TODAY()),"Sí","No"))</f>
        <v/>
      </c>
      <c r="N39" s="10"/>
    </row>
    <row r="40" customFormat="false" ht="15" hidden="false" customHeight="false" outlineLevel="0" collapsed="false">
      <c r="A40" s="18"/>
      <c r="B40" s="5"/>
      <c r="C40" s="10"/>
      <c r="D40" s="10"/>
      <c r="E40" s="19"/>
      <c r="F40" s="10"/>
      <c r="G40" s="5"/>
      <c r="H40" s="5"/>
      <c r="I40" s="19"/>
      <c r="J40" s="10"/>
      <c r="K40" s="19"/>
      <c r="L40" s="10" t="str">
        <f aca="true">IF(A40="","",IF(K40&lt;&gt;"",K40-E40,TODAY()-E40))</f>
        <v/>
      </c>
      <c r="M40" s="10" t="str">
        <f aca="true">IF(A40="","",IF(AND(H40&lt;&gt;"Cerrado",I40&lt;TODAY()),"Sí","No"))</f>
        <v/>
      </c>
      <c r="N40" s="10"/>
    </row>
    <row r="41" customFormat="false" ht="15" hidden="false" customHeight="false" outlineLevel="0" collapsed="false">
      <c r="A41" s="18"/>
      <c r="B41" s="5"/>
      <c r="C41" s="10"/>
      <c r="D41" s="10"/>
      <c r="E41" s="19"/>
      <c r="F41" s="10"/>
      <c r="G41" s="5"/>
      <c r="H41" s="5"/>
      <c r="I41" s="19"/>
      <c r="J41" s="10"/>
      <c r="K41" s="19"/>
      <c r="L41" s="10" t="str">
        <f aca="true">IF(A41="","",IF(K41&lt;&gt;"",K41-E41,TODAY()-E41))</f>
        <v/>
      </c>
      <c r="M41" s="10" t="str">
        <f aca="true">IF(A41="","",IF(AND(H41&lt;&gt;"Cerrado",I41&lt;TODAY()),"Sí","No"))</f>
        <v/>
      </c>
      <c r="N41" s="10"/>
    </row>
    <row r="42" customFormat="false" ht="15" hidden="false" customHeight="false" outlineLevel="0" collapsed="false">
      <c r="A42" s="18"/>
      <c r="B42" s="5"/>
      <c r="C42" s="10"/>
      <c r="D42" s="10"/>
      <c r="E42" s="19"/>
      <c r="F42" s="10"/>
      <c r="G42" s="5"/>
      <c r="H42" s="5"/>
      <c r="I42" s="19"/>
      <c r="J42" s="10"/>
      <c r="K42" s="19"/>
      <c r="L42" s="10" t="str">
        <f aca="true">IF(A42="","",IF(K42&lt;&gt;"",K42-E42,TODAY()-E42))</f>
        <v/>
      </c>
      <c r="M42" s="10" t="str">
        <f aca="true">IF(A42="","",IF(AND(H42&lt;&gt;"Cerrado",I42&lt;TODAY()),"Sí","No"))</f>
        <v/>
      </c>
      <c r="N42" s="10"/>
    </row>
    <row r="43" customFormat="false" ht="15" hidden="false" customHeight="false" outlineLevel="0" collapsed="false">
      <c r="A43" s="18"/>
      <c r="B43" s="5"/>
      <c r="C43" s="10"/>
      <c r="D43" s="10"/>
      <c r="E43" s="19"/>
      <c r="F43" s="10"/>
      <c r="G43" s="5"/>
      <c r="H43" s="5"/>
      <c r="I43" s="19"/>
      <c r="J43" s="10"/>
      <c r="K43" s="19"/>
      <c r="L43" s="10" t="str">
        <f aca="true">IF(A43="","",IF(K43&lt;&gt;"",K43-E43,TODAY()-E43))</f>
        <v/>
      </c>
      <c r="M43" s="10" t="str">
        <f aca="true">IF(A43="","",IF(AND(H43&lt;&gt;"Cerrado",I43&lt;TODAY()),"Sí","No"))</f>
        <v/>
      </c>
      <c r="N43" s="10"/>
    </row>
    <row r="44" customFormat="false" ht="15" hidden="false" customHeight="false" outlineLevel="0" collapsed="false">
      <c r="A44" s="18"/>
      <c r="B44" s="5"/>
      <c r="C44" s="10"/>
      <c r="D44" s="10"/>
      <c r="E44" s="19"/>
      <c r="F44" s="10"/>
      <c r="G44" s="5"/>
      <c r="H44" s="5"/>
      <c r="I44" s="19"/>
      <c r="J44" s="10"/>
      <c r="K44" s="19"/>
      <c r="L44" s="10" t="str">
        <f aca="true">IF(A44="","",IF(K44&lt;&gt;"",K44-E44,TODAY()-E44))</f>
        <v/>
      </c>
      <c r="M44" s="10" t="str">
        <f aca="true">IF(A44="","",IF(AND(H44&lt;&gt;"Cerrado",I44&lt;TODAY()),"Sí","No"))</f>
        <v/>
      </c>
      <c r="N44" s="10"/>
    </row>
    <row r="45" customFormat="false" ht="15" hidden="false" customHeight="false" outlineLevel="0" collapsed="false">
      <c r="A45" s="18"/>
      <c r="B45" s="5"/>
      <c r="C45" s="10"/>
      <c r="D45" s="10"/>
      <c r="E45" s="19"/>
      <c r="F45" s="10"/>
      <c r="G45" s="5"/>
      <c r="H45" s="5"/>
      <c r="I45" s="19"/>
      <c r="J45" s="10"/>
      <c r="K45" s="19"/>
      <c r="L45" s="10" t="str">
        <f aca="true">IF(A45="","",IF(K45&lt;&gt;"",K45-E45,TODAY()-E45))</f>
        <v/>
      </c>
      <c r="M45" s="10" t="str">
        <f aca="true">IF(A45="","",IF(AND(H45&lt;&gt;"Cerrado",I45&lt;TODAY()),"Sí","No"))</f>
        <v/>
      </c>
      <c r="N45" s="10"/>
    </row>
    <row r="46" customFormat="false" ht="15" hidden="false" customHeight="false" outlineLevel="0" collapsed="false">
      <c r="A46" s="18"/>
      <c r="B46" s="5"/>
      <c r="C46" s="10"/>
      <c r="D46" s="10"/>
      <c r="E46" s="19"/>
      <c r="F46" s="10"/>
      <c r="G46" s="5"/>
      <c r="H46" s="5"/>
      <c r="I46" s="19"/>
      <c r="J46" s="10"/>
      <c r="K46" s="19"/>
      <c r="L46" s="10" t="str">
        <f aca="true">IF(A46="","",IF(K46&lt;&gt;"",K46-E46,TODAY()-E46))</f>
        <v/>
      </c>
      <c r="M46" s="10" t="str">
        <f aca="true">IF(A46="","",IF(AND(H46&lt;&gt;"Cerrado",I46&lt;TODAY()),"Sí","No"))</f>
        <v/>
      </c>
      <c r="N46" s="10"/>
    </row>
    <row r="47" customFormat="false" ht="15" hidden="false" customHeight="false" outlineLevel="0" collapsed="false">
      <c r="A47" s="18"/>
      <c r="B47" s="5"/>
      <c r="C47" s="10"/>
      <c r="D47" s="10"/>
      <c r="E47" s="19"/>
      <c r="F47" s="10"/>
      <c r="G47" s="5"/>
      <c r="H47" s="5"/>
      <c r="I47" s="19"/>
      <c r="J47" s="10"/>
      <c r="K47" s="19"/>
      <c r="L47" s="10" t="str">
        <f aca="true">IF(A47="","",IF(K47&lt;&gt;"",K47-E47,TODAY()-E47))</f>
        <v/>
      </c>
      <c r="M47" s="10" t="str">
        <f aca="true">IF(A47="","",IF(AND(H47&lt;&gt;"Cerrado",I47&lt;TODAY()),"Sí","No"))</f>
        <v/>
      </c>
      <c r="N47" s="10"/>
    </row>
    <row r="48" customFormat="false" ht="15" hidden="false" customHeight="false" outlineLevel="0" collapsed="false">
      <c r="A48" s="18"/>
      <c r="B48" s="5"/>
      <c r="C48" s="10"/>
      <c r="D48" s="10"/>
      <c r="E48" s="19"/>
      <c r="F48" s="10"/>
      <c r="G48" s="5"/>
      <c r="H48" s="5"/>
      <c r="I48" s="19"/>
      <c r="J48" s="10"/>
      <c r="K48" s="19"/>
      <c r="L48" s="10" t="str">
        <f aca="true">IF(A48="","",IF(K48&lt;&gt;"",K48-E48,TODAY()-E48))</f>
        <v/>
      </c>
      <c r="M48" s="10" t="str">
        <f aca="true">IF(A48="","",IF(AND(H48&lt;&gt;"Cerrado",I48&lt;TODAY()),"Sí","No"))</f>
        <v/>
      </c>
      <c r="N48" s="10"/>
    </row>
    <row r="49" customFormat="false" ht="15" hidden="false" customHeight="false" outlineLevel="0" collapsed="false">
      <c r="A49" s="18"/>
      <c r="B49" s="5"/>
      <c r="C49" s="10"/>
      <c r="D49" s="10"/>
      <c r="E49" s="19"/>
      <c r="F49" s="10"/>
      <c r="G49" s="5"/>
      <c r="H49" s="5"/>
      <c r="I49" s="19"/>
      <c r="J49" s="10"/>
      <c r="K49" s="19"/>
      <c r="L49" s="10" t="str">
        <f aca="true">IF(A49="","",IF(K49&lt;&gt;"",K49-E49,TODAY()-E49))</f>
        <v/>
      </c>
      <c r="M49" s="10" t="str">
        <f aca="true">IF(A49="","",IF(AND(H49&lt;&gt;"Cerrado",I49&lt;TODAY()),"Sí","No"))</f>
        <v/>
      </c>
      <c r="N49" s="10"/>
    </row>
    <row r="50" customFormat="false" ht="15" hidden="false" customHeight="false" outlineLevel="0" collapsed="false">
      <c r="A50" s="18"/>
      <c r="B50" s="5"/>
      <c r="C50" s="10"/>
      <c r="D50" s="10"/>
      <c r="E50" s="19"/>
      <c r="F50" s="10"/>
      <c r="G50" s="5"/>
      <c r="H50" s="5"/>
      <c r="I50" s="19"/>
      <c r="J50" s="10"/>
      <c r="K50" s="19"/>
      <c r="L50" s="10" t="str">
        <f aca="true">IF(A50="","",IF(K50&lt;&gt;"",K50-E50,TODAY()-E50))</f>
        <v/>
      </c>
      <c r="M50" s="10" t="str">
        <f aca="true">IF(A50="","",IF(AND(H50&lt;&gt;"Cerrado",I50&lt;TODAY()),"Sí","No"))</f>
        <v/>
      </c>
      <c r="N50" s="10"/>
    </row>
    <row r="51" customFormat="false" ht="15" hidden="false" customHeight="false" outlineLevel="0" collapsed="false">
      <c r="A51" s="18"/>
      <c r="B51" s="5"/>
      <c r="C51" s="10"/>
      <c r="D51" s="10"/>
      <c r="E51" s="19"/>
      <c r="F51" s="10"/>
      <c r="G51" s="5"/>
      <c r="H51" s="5"/>
      <c r="I51" s="19"/>
      <c r="J51" s="10"/>
      <c r="K51" s="19"/>
      <c r="L51" s="10" t="str">
        <f aca="true">IF(A51="","",IF(K51&lt;&gt;"",K51-E51,TODAY()-E51))</f>
        <v/>
      </c>
      <c r="M51" s="10" t="str">
        <f aca="true">IF(A51="","",IF(AND(H51&lt;&gt;"Cerrado",I51&lt;TODAY()),"Sí","No"))</f>
        <v/>
      </c>
      <c r="N51" s="10"/>
    </row>
    <row r="52" customFormat="false" ht="15" hidden="false" customHeight="false" outlineLevel="0" collapsed="false">
      <c r="A52" s="18"/>
      <c r="B52" s="5"/>
      <c r="C52" s="10"/>
      <c r="D52" s="10"/>
      <c r="E52" s="19"/>
      <c r="F52" s="10"/>
      <c r="G52" s="5"/>
      <c r="H52" s="5"/>
      <c r="I52" s="19"/>
      <c r="J52" s="10"/>
      <c r="K52" s="19"/>
      <c r="L52" s="10" t="str">
        <f aca="true">IF(A52="","",IF(K52&lt;&gt;"",K52-E52,TODAY()-E52))</f>
        <v/>
      </c>
      <c r="M52" s="10" t="str">
        <f aca="true">IF(A52="","",IF(AND(H52&lt;&gt;"Cerrado",I52&lt;TODAY()),"Sí","No"))</f>
        <v/>
      </c>
      <c r="N52" s="10"/>
    </row>
    <row r="53" customFormat="false" ht="15" hidden="false" customHeight="false" outlineLevel="0" collapsed="false">
      <c r="A53" s="18"/>
      <c r="B53" s="5"/>
      <c r="C53" s="10"/>
      <c r="D53" s="10"/>
      <c r="E53" s="19"/>
      <c r="F53" s="10"/>
      <c r="G53" s="5"/>
      <c r="H53" s="5"/>
      <c r="I53" s="19"/>
      <c r="J53" s="10"/>
      <c r="K53" s="19"/>
      <c r="L53" s="10" t="str">
        <f aca="true">IF(A53="","",IF(K53&lt;&gt;"",K53-E53,TODAY()-E53))</f>
        <v/>
      </c>
      <c r="M53" s="10" t="str">
        <f aca="true">IF(A53="","",IF(AND(H53&lt;&gt;"Cerrado",I53&lt;TODAY()),"Sí","No"))</f>
        <v/>
      </c>
      <c r="N53" s="10"/>
    </row>
    <row r="54" customFormat="false" ht="15" hidden="false" customHeight="false" outlineLevel="0" collapsed="false">
      <c r="A54" s="18"/>
      <c r="B54" s="5"/>
      <c r="C54" s="10"/>
      <c r="D54" s="10"/>
      <c r="E54" s="19"/>
      <c r="F54" s="10"/>
      <c r="G54" s="5"/>
      <c r="H54" s="5"/>
      <c r="I54" s="19"/>
      <c r="J54" s="10"/>
      <c r="K54" s="19"/>
      <c r="L54" s="10" t="str">
        <f aca="true">IF(A54="","",IF(K54&lt;&gt;"",K54-E54,TODAY()-E54))</f>
        <v/>
      </c>
      <c r="M54" s="10" t="str">
        <f aca="true">IF(A54="","",IF(AND(H54&lt;&gt;"Cerrado",I54&lt;TODAY()),"Sí","No"))</f>
        <v/>
      </c>
      <c r="N54" s="10"/>
    </row>
    <row r="55" customFormat="false" ht="15" hidden="false" customHeight="false" outlineLevel="0" collapsed="false">
      <c r="A55" s="18"/>
      <c r="B55" s="5"/>
      <c r="C55" s="10"/>
      <c r="D55" s="10"/>
      <c r="E55" s="19"/>
      <c r="F55" s="10"/>
      <c r="G55" s="5"/>
      <c r="H55" s="5"/>
      <c r="I55" s="19"/>
      <c r="J55" s="10"/>
      <c r="K55" s="19"/>
      <c r="L55" s="10" t="str">
        <f aca="true">IF(A55="","",IF(K55&lt;&gt;"",K55-E55,TODAY()-E55))</f>
        <v/>
      </c>
      <c r="M55" s="10" t="str">
        <f aca="true">IF(A55="","",IF(AND(H55&lt;&gt;"Cerrado",I55&lt;TODAY()),"Sí","No"))</f>
        <v/>
      </c>
      <c r="N55" s="10"/>
    </row>
    <row r="56" customFormat="false" ht="15" hidden="false" customHeight="false" outlineLevel="0" collapsed="false">
      <c r="A56" s="18"/>
      <c r="B56" s="5"/>
      <c r="C56" s="10"/>
      <c r="D56" s="10"/>
      <c r="E56" s="19"/>
      <c r="F56" s="10"/>
      <c r="G56" s="5"/>
      <c r="H56" s="5"/>
      <c r="I56" s="19"/>
      <c r="J56" s="10"/>
      <c r="K56" s="19"/>
      <c r="L56" s="10" t="str">
        <f aca="true">IF(A56="","",IF(K56&lt;&gt;"",K56-E56,TODAY()-E56))</f>
        <v/>
      </c>
      <c r="M56" s="10" t="str">
        <f aca="true">IF(A56="","",IF(AND(H56&lt;&gt;"Cerrado",I56&lt;TODAY()),"Sí","No"))</f>
        <v/>
      </c>
      <c r="N56" s="10"/>
    </row>
    <row r="57" customFormat="false" ht="15" hidden="false" customHeight="false" outlineLevel="0" collapsed="false">
      <c r="A57" s="18"/>
      <c r="B57" s="5"/>
      <c r="C57" s="10"/>
      <c r="D57" s="10"/>
      <c r="E57" s="19"/>
      <c r="F57" s="10"/>
      <c r="G57" s="5"/>
      <c r="H57" s="5"/>
      <c r="I57" s="19"/>
      <c r="J57" s="10"/>
      <c r="K57" s="19"/>
      <c r="L57" s="10" t="str">
        <f aca="true">IF(A57="","",IF(K57&lt;&gt;"",K57-E57,TODAY()-E57))</f>
        <v/>
      </c>
      <c r="M57" s="10" t="str">
        <f aca="true">IF(A57="","",IF(AND(H57&lt;&gt;"Cerrado",I57&lt;TODAY()),"Sí","No"))</f>
        <v/>
      </c>
      <c r="N57" s="10"/>
    </row>
    <row r="58" customFormat="false" ht="15" hidden="false" customHeight="false" outlineLevel="0" collapsed="false">
      <c r="A58" s="18"/>
      <c r="B58" s="5"/>
      <c r="C58" s="10"/>
      <c r="D58" s="10"/>
      <c r="E58" s="19"/>
      <c r="F58" s="10"/>
      <c r="G58" s="5"/>
      <c r="H58" s="5"/>
      <c r="I58" s="19"/>
      <c r="J58" s="10"/>
      <c r="K58" s="19"/>
      <c r="L58" s="10" t="str">
        <f aca="true">IF(A58="","",IF(K58&lt;&gt;"",K58-E58,TODAY()-E58))</f>
        <v/>
      </c>
      <c r="M58" s="10" t="str">
        <f aca="true">IF(A58="","",IF(AND(H58&lt;&gt;"Cerrado",I58&lt;TODAY()),"Sí","No"))</f>
        <v/>
      </c>
      <c r="N58" s="10"/>
    </row>
    <row r="59" customFormat="false" ht="15" hidden="false" customHeight="false" outlineLevel="0" collapsed="false">
      <c r="A59" s="18"/>
      <c r="B59" s="5"/>
      <c r="C59" s="10"/>
      <c r="D59" s="10"/>
      <c r="E59" s="19"/>
      <c r="F59" s="10"/>
      <c r="G59" s="5"/>
      <c r="H59" s="5"/>
      <c r="I59" s="19"/>
      <c r="J59" s="10"/>
      <c r="K59" s="19"/>
      <c r="L59" s="10" t="str">
        <f aca="true">IF(A59="","",IF(K59&lt;&gt;"",K59-E59,TODAY()-E59))</f>
        <v/>
      </c>
      <c r="M59" s="10" t="str">
        <f aca="true">IF(A59="","",IF(AND(H59&lt;&gt;"Cerrado",I59&lt;TODAY()),"Sí","No"))</f>
        <v/>
      </c>
      <c r="N59" s="10"/>
    </row>
    <row r="60" customFormat="false" ht="15" hidden="false" customHeight="false" outlineLevel="0" collapsed="false">
      <c r="A60" s="18"/>
      <c r="B60" s="5"/>
      <c r="C60" s="10"/>
      <c r="D60" s="10"/>
      <c r="E60" s="19"/>
      <c r="F60" s="10"/>
      <c r="G60" s="5"/>
      <c r="H60" s="5"/>
      <c r="I60" s="19"/>
      <c r="J60" s="10"/>
      <c r="K60" s="19"/>
      <c r="L60" s="10" t="str">
        <f aca="true">IF(A60="","",IF(K60&lt;&gt;"",K60-E60,TODAY()-E60))</f>
        <v/>
      </c>
      <c r="M60" s="10" t="str">
        <f aca="true">IF(A60="","",IF(AND(H60&lt;&gt;"Cerrado",I60&lt;TODAY()),"Sí","No"))</f>
        <v/>
      </c>
      <c r="N60" s="10"/>
    </row>
    <row r="61" customFormat="false" ht="15" hidden="false" customHeight="false" outlineLevel="0" collapsed="false">
      <c r="A61" s="18"/>
      <c r="B61" s="5"/>
      <c r="C61" s="10"/>
      <c r="D61" s="10"/>
      <c r="E61" s="19"/>
      <c r="F61" s="10"/>
      <c r="G61" s="5"/>
      <c r="H61" s="5"/>
      <c r="I61" s="19"/>
      <c r="J61" s="10"/>
      <c r="K61" s="19"/>
      <c r="L61" s="10" t="str">
        <f aca="true">IF(A61="","",IF(K61&lt;&gt;"",K61-E61,TODAY()-E61))</f>
        <v/>
      </c>
      <c r="M61" s="10" t="str">
        <f aca="true">IF(A61="","",IF(AND(H61&lt;&gt;"Cerrado",I61&lt;TODAY()),"Sí","No"))</f>
        <v/>
      </c>
      <c r="N61" s="10"/>
    </row>
    <row r="62" customFormat="false" ht="15" hidden="false" customHeight="false" outlineLevel="0" collapsed="false">
      <c r="A62" s="18"/>
      <c r="B62" s="5"/>
      <c r="C62" s="10"/>
      <c r="D62" s="10"/>
      <c r="E62" s="19"/>
      <c r="F62" s="10"/>
      <c r="G62" s="5"/>
      <c r="H62" s="5"/>
      <c r="I62" s="19"/>
      <c r="J62" s="10"/>
      <c r="K62" s="19"/>
      <c r="L62" s="10" t="str">
        <f aca="true">IF(A62="","",IF(K62&lt;&gt;"",K62-E62,TODAY()-E62))</f>
        <v/>
      </c>
      <c r="M62" s="10" t="str">
        <f aca="true">IF(A62="","",IF(AND(H62&lt;&gt;"Cerrado",I62&lt;TODAY()),"Sí","No"))</f>
        <v/>
      </c>
      <c r="N62" s="10"/>
    </row>
    <row r="63" customFormat="false" ht="15" hidden="false" customHeight="false" outlineLevel="0" collapsed="false">
      <c r="A63" s="18"/>
      <c r="B63" s="5"/>
      <c r="C63" s="10"/>
      <c r="D63" s="10"/>
      <c r="E63" s="19"/>
      <c r="F63" s="10"/>
      <c r="G63" s="5"/>
      <c r="H63" s="5"/>
      <c r="I63" s="19"/>
      <c r="J63" s="10"/>
      <c r="K63" s="19"/>
      <c r="L63" s="10" t="str">
        <f aca="true">IF(A63="","",IF(K63&lt;&gt;"",K63-E63,TODAY()-E63))</f>
        <v/>
      </c>
      <c r="M63" s="10" t="str">
        <f aca="true">IF(A63="","",IF(AND(H63&lt;&gt;"Cerrado",I63&lt;TODAY()),"Sí","No"))</f>
        <v/>
      </c>
      <c r="N63" s="10"/>
    </row>
    <row r="64" customFormat="false" ht="15" hidden="false" customHeight="false" outlineLevel="0" collapsed="false">
      <c r="A64" s="18"/>
      <c r="B64" s="5"/>
      <c r="C64" s="10"/>
      <c r="D64" s="10"/>
      <c r="E64" s="19"/>
      <c r="F64" s="10"/>
      <c r="G64" s="5"/>
      <c r="H64" s="5"/>
      <c r="I64" s="19"/>
      <c r="J64" s="10"/>
      <c r="K64" s="19"/>
      <c r="L64" s="10" t="str">
        <f aca="true">IF(A64="","",IF(K64&lt;&gt;"",K64-E64,TODAY()-E64))</f>
        <v/>
      </c>
      <c r="M64" s="10" t="str">
        <f aca="true">IF(A64="","",IF(AND(H64&lt;&gt;"Cerrado",I64&lt;TODAY()),"Sí","No"))</f>
        <v/>
      </c>
      <c r="N64" s="10"/>
    </row>
    <row r="65" customFormat="false" ht="15" hidden="false" customHeight="false" outlineLevel="0" collapsed="false">
      <c r="A65" s="18"/>
      <c r="B65" s="5"/>
      <c r="C65" s="10"/>
      <c r="D65" s="10"/>
      <c r="E65" s="19"/>
      <c r="F65" s="10"/>
      <c r="G65" s="5"/>
      <c r="H65" s="5"/>
      <c r="I65" s="19"/>
      <c r="J65" s="10"/>
      <c r="K65" s="19"/>
      <c r="L65" s="10" t="str">
        <f aca="true">IF(A65="","",IF(K65&lt;&gt;"",K65-E65,TODAY()-E65))</f>
        <v/>
      </c>
      <c r="M65" s="10" t="str">
        <f aca="true">IF(A65="","",IF(AND(H65&lt;&gt;"Cerrado",I65&lt;TODAY()),"Sí","No"))</f>
        <v/>
      </c>
      <c r="N65" s="10"/>
    </row>
    <row r="66" customFormat="false" ht="15" hidden="false" customHeight="false" outlineLevel="0" collapsed="false">
      <c r="A66" s="18"/>
      <c r="B66" s="5"/>
      <c r="C66" s="10"/>
      <c r="D66" s="10"/>
      <c r="E66" s="19"/>
      <c r="F66" s="10"/>
      <c r="G66" s="5"/>
      <c r="H66" s="5"/>
      <c r="I66" s="19"/>
      <c r="J66" s="10"/>
      <c r="K66" s="19"/>
      <c r="L66" s="10" t="str">
        <f aca="true">IF(A66="","",IF(K66&lt;&gt;"",K66-E66,TODAY()-E66))</f>
        <v/>
      </c>
      <c r="M66" s="10" t="str">
        <f aca="true">IF(A66="","",IF(AND(H66&lt;&gt;"Cerrado",I66&lt;TODAY()),"Sí","No"))</f>
        <v/>
      </c>
      <c r="N66" s="10"/>
    </row>
    <row r="67" customFormat="false" ht="15" hidden="false" customHeight="false" outlineLevel="0" collapsed="false">
      <c r="A67" s="18"/>
      <c r="B67" s="5"/>
      <c r="C67" s="10"/>
      <c r="D67" s="10"/>
      <c r="E67" s="19"/>
      <c r="F67" s="10"/>
      <c r="G67" s="5"/>
      <c r="H67" s="5"/>
      <c r="I67" s="19"/>
      <c r="J67" s="10"/>
      <c r="K67" s="19"/>
      <c r="L67" s="10" t="str">
        <f aca="true">IF(A67="","",IF(K67&lt;&gt;"",K67-E67,TODAY()-E67))</f>
        <v/>
      </c>
      <c r="M67" s="10" t="str">
        <f aca="true">IF(A67="","",IF(AND(H67&lt;&gt;"Cerrado",I67&lt;TODAY()),"Sí","No"))</f>
        <v/>
      </c>
      <c r="N67" s="10"/>
    </row>
    <row r="68" customFormat="false" ht="15" hidden="false" customHeight="false" outlineLevel="0" collapsed="false">
      <c r="A68" s="18"/>
      <c r="B68" s="5"/>
      <c r="C68" s="10"/>
      <c r="D68" s="10"/>
      <c r="E68" s="19"/>
      <c r="F68" s="10"/>
      <c r="G68" s="5"/>
      <c r="H68" s="5"/>
      <c r="I68" s="19"/>
      <c r="J68" s="10"/>
      <c r="K68" s="19"/>
      <c r="L68" s="10" t="str">
        <f aca="true">IF(A68="","",IF(K68&lt;&gt;"",K68-E68,TODAY()-E68))</f>
        <v/>
      </c>
      <c r="M68" s="10" t="str">
        <f aca="true">IF(A68="","",IF(AND(H68&lt;&gt;"Cerrado",I68&lt;TODAY()),"Sí","No"))</f>
        <v/>
      </c>
      <c r="N68" s="10"/>
    </row>
    <row r="69" customFormat="false" ht="15" hidden="false" customHeight="false" outlineLevel="0" collapsed="false">
      <c r="A69" s="18"/>
      <c r="B69" s="5"/>
      <c r="C69" s="10"/>
      <c r="D69" s="10"/>
      <c r="E69" s="19"/>
      <c r="F69" s="10"/>
      <c r="G69" s="5"/>
      <c r="H69" s="5"/>
      <c r="I69" s="19"/>
      <c r="J69" s="10"/>
      <c r="K69" s="19"/>
      <c r="L69" s="10" t="str">
        <f aca="true">IF(A69="","",IF(K69&lt;&gt;"",K69-E69,TODAY()-E69))</f>
        <v/>
      </c>
      <c r="M69" s="10" t="str">
        <f aca="true">IF(A69="","",IF(AND(H69&lt;&gt;"Cerrado",I69&lt;TODAY()),"Sí","No"))</f>
        <v/>
      </c>
      <c r="N69" s="10"/>
    </row>
    <row r="70" customFormat="false" ht="15" hidden="false" customHeight="false" outlineLevel="0" collapsed="false">
      <c r="A70" s="18"/>
      <c r="B70" s="5"/>
      <c r="C70" s="10"/>
      <c r="D70" s="10"/>
      <c r="E70" s="19"/>
      <c r="F70" s="10"/>
      <c r="G70" s="5"/>
      <c r="H70" s="5"/>
      <c r="I70" s="19"/>
      <c r="J70" s="10"/>
      <c r="K70" s="19"/>
      <c r="L70" s="10" t="str">
        <f aca="true">IF(A70="","",IF(K70&lt;&gt;"",K70-E70,TODAY()-E70))</f>
        <v/>
      </c>
      <c r="M70" s="10" t="str">
        <f aca="true">IF(A70="","",IF(AND(H70&lt;&gt;"Cerrado",I70&lt;TODAY()),"Sí","No"))</f>
        <v/>
      </c>
      <c r="N70" s="10"/>
    </row>
    <row r="71" customFormat="false" ht="15" hidden="false" customHeight="false" outlineLevel="0" collapsed="false">
      <c r="A71" s="18"/>
      <c r="B71" s="5"/>
      <c r="C71" s="10"/>
      <c r="D71" s="10"/>
      <c r="E71" s="19"/>
      <c r="F71" s="10"/>
      <c r="G71" s="5"/>
      <c r="H71" s="5"/>
      <c r="I71" s="19"/>
      <c r="J71" s="10"/>
      <c r="K71" s="19"/>
      <c r="L71" s="10" t="str">
        <f aca="true">IF(A71="","",IF(K71&lt;&gt;"",K71-E71,TODAY()-E71))</f>
        <v/>
      </c>
      <c r="M71" s="10" t="str">
        <f aca="true">IF(A71="","",IF(AND(H71&lt;&gt;"Cerrado",I71&lt;TODAY()),"Sí","No"))</f>
        <v/>
      </c>
      <c r="N71" s="10"/>
    </row>
    <row r="72" customFormat="false" ht="15" hidden="false" customHeight="false" outlineLevel="0" collapsed="false">
      <c r="A72" s="18"/>
      <c r="B72" s="5"/>
      <c r="C72" s="10"/>
      <c r="D72" s="10"/>
      <c r="E72" s="19"/>
      <c r="F72" s="10"/>
      <c r="G72" s="5"/>
      <c r="H72" s="5"/>
      <c r="I72" s="19"/>
      <c r="J72" s="10"/>
      <c r="K72" s="19"/>
      <c r="L72" s="10" t="str">
        <f aca="true">IF(A72="","",IF(K72&lt;&gt;"",K72-E72,TODAY()-E72))</f>
        <v/>
      </c>
      <c r="M72" s="10" t="str">
        <f aca="true">IF(A72="","",IF(AND(H72&lt;&gt;"Cerrado",I72&lt;TODAY()),"Sí","No"))</f>
        <v/>
      </c>
      <c r="N72" s="10"/>
    </row>
    <row r="73" customFormat="false" ht="15" hidden="false" customHeight="false" outlineLevel="0" collapsed="false">
      <c r="A73" s="18"/>
      <c r="B73" s="5"/>
      <c r="C73" s="10"/>
      <c r="D73" s="10"/>
      <c r="E73" s="19"/>
      <c r="F73" s="10"/>
      <c r="G73" s="5"/>
      <c r="H73" s="5"/>
      <c r="I73" s="19"/>
      <c r="J73" s="10"/>
      <c r="K73" s="19"/>
      <c r="L73" s="10" t="str">
        <f aca="true">IF(A73="","",IF(K73&lt;&gt;"",K73-E73,TODAY()-E73))</f>
        <v/>
      </c>
      <c r="M73" s="10" t="str">
        <f aca="true">IF(A73="","",IF(AND(H73&lt;&gt;"Cerrado",I73&lt;TODAY()),"Sí","No"))</f>
        <v/>
      </c>
      <c r="N73" s="10"/>
    </row>
    <row r="74" customFormat="false" ht="15" hidden="false" customHeight="false" outlineLevel="0" collapsed="false">
      <c r="A74" s="18"/>
      <c r="B74" s="5"/>
      <c r="C74" s="10"/>
      <c r="D74" s="10"/>
      <c r="E74" s="19"/>
      <c r="F74" s="10"/>
      <c r="G74" s="5"/>
      <c r="H74" s="5"/>
      <c r="I74" s="19"/>
      <c r="J74" s="10"/>
      <c r="K74" s="19"/>
      <c r="L74" s="10" t="str">
        <f aca="true">IF(A74="","",IF(K74&lt;&gt;"",K74-E74,TODAY()-E74))</f>
        <v/>
      </c>
      <c r="M74" s="10" t="str">
        <f aca="true">IF(A74="","",IF(AND(H74&lt;&gt;"Cerrado",I74&lt;TODAY()),"Sí","No"))</f>
        <v/>
      </c>
      <c r="N74" s="10"/>
    </row>
    <row r="75" customFormat="false" ht="15" hidden="false" customHeight="false" outlineLevel="0" collapsed="false">
      <c r="A75" s="18"/>
      <c r="B75" s="5"/>
      <c r="C75" s="10"/>
      <c r="D75" s="10"/>
      <c r="E75" s="19"/>
      <c r="F75" s="10"/>
      <c r="G75" s="5"/>
      <c r="H75" s="5"/>
      <c r="I75" s="19"/>
      <c r="J75" s="10"/>
      <c r="K75" s="19"/>
      <c r="L75" s="10" t="str">
        <f aca="true">IF(A75="","",IF(K75&lt;&gt;"",K75-E75,TODAY()-E75))</f>
        <v/>
      </c>
      <c r="M75" s="10" t="str">
        <f aca="true">IF(A75="","",IF(AND(H75&lt;&gt;"Cerrado",I75&lt;TODAY()),"Sí","No"))</f>
        <v/>
      </c>
      <c r="N75" s="10"/>
    </row>
    <row r="76" customFormat="false" ht="15" hidden="false" customHeight="false" outlineLevel="0" collapsed="false">
      <c r="A76" s="18"/>
      <c r="B76" s="5"/>
      <c r="C76" s="10"/>
      <c r="D76" s="10"/>
      <c r="E76" s="19"/>
      <c r="F76" s="10"/>
      <c r="G76" s="5"/>
      <c r="H76" s="5"/>
      <c r="I76" s="19"/>
      <c r="J76" s="10"/>
      <c r="K76" s="19"/>
      <c r="L76" s="10" t="str">
        <f aca="true">IF(A76="","",IF(K76&lt;&gt;"",K76-E76,TODAY()-E76))</f>
        <v/>
      </c>
      <c r="M76" s="10" t="str">
        <f aca="true">IF(A76="","",IF(AND(H76&lt;&gt;"Cerrado",I76&lt;TODAY()),"Sí","No"))</f>
        <v/>
      </c>
      <c r="N76" s="10"/>
    </row>
    <row r="77" customFormat="false" ht="15" hidden="false" customHeight="false" outlineLevel="0" collapsed="false">
      <c r="A77" s="18"/>
      <c r="B77" s="5"/>
      <c r="C77" s="10"/>
      <c r="D77" s="10"/>
      <c r="E77" s="19"/>
      <c r="F77" s="10"/>
      <c r="G77" s="5"/>
      <c r="H77" s="5"/>
      <c r="I77" s="19"/>
      <c r="J77" s="10"/>
      <c r="K77" s="19"/>
      <c r="L77" s="10" t="str">
        <f aca="true">IF(A77="","",IF(K77&lt;&gt;"",K77-E77,TODAY()-E77))</f>
        <v/>
      </c>
      <c r="M77" s="10" t="str">
        <f aca="true">IF(A77="","",IF(AND(H77&lt;&gt;"Cerrado",I77&lt;TODAY()),"Sí","No"))</f>
        <v/>
      </c>
      <c r="N77" s="10"/>
    </row>
    <row r="78" customFormat="false" ht="15" hidden="false" customHeight="false" outlineLevel="0" collapsed="false">
      <c r="A78" s="18"/>
      <c r="B78" s="5"/>
      <c r="C78" s="10"/>
      <c r="D78" s="10"/>
      <c r="E78" s="19"/>
      <c r="F78" s="10"/>
      <c r="G78" s="5"/>
      <c r="H78" s="5"/>
      <c r="I78" s="19"/>
      <c r="J78" s="10"/>
      <c r="K78" s="19"/>
      <c r="L78" s="10" t="str">
        <f aca="true">IF(A78="","",IF(K78&lt;&gt;"",K78-E78,TODAY()-E78))</f>
        <v/>
      </c>
      <c r="M78" s="10" t="str">
        <f aca="true">IF(A78="","",IF(AND(H78&lt;&gt;"Cerrado",I78&lt;TODAY()),"Sí","No"))</f>
        <v/>
      </c>
      <c r="N78" s="10"/>
    </row>
    <row r="79" customFormat="false" ht="15" hidden="false" customHeight="false" outlineLevel="0" collapsed="false">
      <c r="A79" s="18"/>
      <c r="B79" s="5"/>
      <c r="C79" s="10"/>
      <c r="D79" s="10"/>
      <c r="E79" s="19"/>
      <c r="F79" s="10"/>
      <c r="G79" s="5"/>
      <c r="H79" s="5"/>
      <c r="I79" s="19"/>
      <c r="J79" s="10"/>
      <c r="K79" s="19"/>
      <c r="L79" s="10" t="str">
        <f aca="true">IF(A79="","",IF(K79&lt;&gt;"",K79-E79,TODAY()-E79))</f>
        <v/>
      </c>
      <c r="M79" s="10" t="str">
        <f aca="true">IF(A79="","",IF(AND(H79&lt;&gt;"Cerrado",I79&lt;TODAY()),"Sí","No"))</f>
        <v/>
      </c>
      <c r="N79" s="10"/>
    </row>
    <row r="80" customFormat="false" ht="15" hidden="false" customHeight="false" outlineLevel="0" collapsed="false">
      <c r="A80" s="18"/>
      <c r="B80" s="5"/>
      <c r="C80" s="10"/>
      <c r="D80" s="10"/>
      <c r="E80" s="19"/>
      <c r="F80" s="10"/>
      <c r="G80" s="5"/>
      <c r="H80" s="5"/>
      <c r="I80" s="19"/>
      <c r="J80" s="10"/>
      <c r="K80" s="19"/>
      <c r="L80" s="10" t="str">
        <f aca="true">IF(A80="","",IF(K80&lt;&gt;"",K80-E80,TODAY()-E80))</f>
        <v/>
      </c>
      <c r="M80" s="10" t="str">
        <f aca="true">IF(A80="","",IF(AND(H80&lt;&gt;"Cerrado",I80&lt;TODAY()),"Sí","No"))</f>
        <v/>
      </c>
      <c r="N80" s="10"/>
    </row>
    <row r="81" customFormat="false" ht="15" hidden="false" customHeight="false" outlineLevel="0" collapsed="false">
      <c r="A81" s="18"/>
      <c r="B81" s="5"/>
      <c r="C81" s="10"/>
      <c r="D81" s="10"/>
      <c r="E81" s="19"/>
      <c r="F81" s="10"/>
      <c r="G81" s="5"/>
      <c r="H81" s="5"/>
      <c r="I81" s="19"/>
      <c r="J81" s="10"/>
      <c r="K81" s="19"/>
      <c r="L81" s="10" t="str">
        <f aca="true">IF(A81="","",IF(K81&lt;&gt;"",K81-E81,TODAY()-E81))</f>
        <v/>
      </c>
      <c r="M81" s="10" t="str">
        <f aca="true">IF(A81="","",IF(AND(H81&lt;&gt;"Cerrado",I81&lt;TODAY()),"Sí","No"))</f>
        <v/>
      </c>
      <c r="N81" s="10"/>
    </row>
    <row r="82" customFormat="false" ht="15" hidden="false" customHeight="false" outlineLevel="0" collapsed="false">
      <c r="A82" s="18"/>
      <c r="B82" s="5"/>
      <c r="C82" s="10"/>
      <c r="D82" s="10"/>
      <c r="E82" s="19"/>
      <c r="F82" s="10"/>
      <c r="G82" s="5"/>
      <c r="H82" s="5"/>
      <c r="I82" s="19"/>
      <c r="J82" s="10"/>
      <c r="K82" s="19"/>
      <c r="L82" s="10" t="str">
        <f aca="true">IF(A82="","",IF(K82&lt;&gt;"",K82-E82,TODAY()-E82))</f>
        <v/>
      </c>
      <c r="M82" s="10" t="str">
        <f aca="true">IF(A82="","",IF(AND(H82&lt;&gt;"Cerrado",I82&lt;TODAY()),"Sí","No"))</f>
        <v/>
      </c>
      <c r="N82" s="10"/>
    </row>
    <row r="83" customFormat="false" ht="15" hidden="false" customHeight="false" outlineLevel="0" collapsed="false">
      <c r="A83" s="18"/>
      <c r="B83" s="5"/>
      <c r="C83" s="10"/>
      <c r="D83" s="10"/>
      <c r="E83" s="19"/>
      <c r="F83" s="10"/>
      <c r="G83" s="5"/>
      <c r="H83" s="5"/>
      <c r="I83" s="19"/>
      <c r="J83" s="10"/>
      <c r="K83" s="19"/>
      <c r="L83" s="10" t="str">
        <f aca="true">IF(A83="","",IF(K83&lt;&gt;"",K83-E83,TODAY()-E83))</f>
        <v/>
      </c>
      <c r="M83" s="10" t="str">
        <f aca="true">IF(A83="","",IF(AND(H83&lt;&gt;"Cerrado",I83&lt;TODAY()),"Sí","No"))</f>
        <v/>
      </c>
      <c r="N83" s="10"/>
    </row>
    <row r="84" customFormat="false" ht="15" hidden="false" customHeight="false" outlineLevel="0" collapsed="false">
      <c r="A84" s="18"/>
      <c r="B84" s="5"/>
      <c r="C84" s="10"/>
      <c r="D84" s="10"/>
      <c r="E84" s="19"/>
      <c r="F84" s="10"/>
      <c r="G84" s="5"/>
      <c r="H84" s="5"/>
      <c r="I84" s="19"/>
      <c r="J84" s="10"/>
      <c r="K84" s="19"/>
      <c r="L84" s="10" t="str">
        <f aca="true">IF(A84="","",IF(K84&lt;&gt;"",K84-E84,TODAY()-E84))</f>
        <v/>
      </c>
      <c r="M84" s="10" t="str">
        <f aca="true">IF(A84="","",IF(AND(H84&lt;&gt;"Cerrado",I84&lt;TODAY()),"Sí","No"))</f>
        <v/>
      </c>
      <c r="N84" s="10"/>
    </row>
    <row r="85" customFormat="false" ht="15" hidden="false" customHeight="false" outlineLevel="0" collapsed="false">
      <c r="A85" s="18"/>
      <c r="B85" s="5"/>
      <c r="C85" s="10"/>
      <c r="D85" s="10"/>
      <c r="E85" s="19"/>
      <c r="F85" s="10"/>
      <c r="G85" s="5"/>
      <c r="H85" s="5"/>
      <c r="I85" s="19"/>
      <c r="J85" s="10"/>
      <c r="K85" s="19"/>
      <c r="L85" s="10" t="str">
        <f aca="true">IF(A85="","",IF(K85&lt;&gt;"",K85-E85,TODAY()-E85))</f>
        <v/>
      </c>
      <c r="M85" s="10" t="str">
        <f aca="true">IF(A85="","",IF(AND(H85&lt;&gt;"Cerrado",I85&lt;TODAY()),"Sí","No"))</f>
        <v/>
      </c>
      <c r="N85" s="10"/>
    </row>
    <row r="86" customFormat="false" ht="15" hidden="false" customHeight="false" outlineLevel="0" collapsed="false">
      <c r="A86" s="18"/>
      <c r="B86" s="5"/>
      <c r="C86" s="10"/>
      <c r="D86" s="10"/>
      <c r="E86" s="19"/>
      <c r="F86" s="10"/>
      <c r="G86" s="5"/>
      <c r="H86" s="5"/>
      <c r="I86" s="19"/>
      <c r="J86" s="10"/>
      <c r="K86" s="19"/>
      <c r="L86" s="10" t="str">
        <f aca="true">IF(A86="","",IF(K86&lt;&gt;"",K86-E86,TODAY()-E86))</f>
        <v/>
      </c>
      <c r="M86" s="10" t="str">
        <f aca="true">IF(A86="","",IF(AND(H86&lt;&gt;"Cerrado",I86&lt;TODAY()),"Sí","No"))</f>
        <v/>
      </c>
      <c r="N86" s="10"/>
    </row>
    <row r="87" customFormat="false" ht="15" hidden="false" customHeight="false" outlineLevel="0" collapsed="false">
      <c r="A87" s="18"/>
      <c r="B87" s="5"/>
      <c r="C87" s="10"/>
      <c r="D87" s="10"/>
      <c r="E87" s="19"/>
      <c r="F87" s="10"/>
      <c r="G87" s="5"/>
      <c r="H87" s="5"/>
      <c r="I87" s="19"/>
      <c r="J87" s="10"/>
      <c r="K87" s="19"/>
      <c r="L87" s="10" t="str">
        <f aca="true">IF(A87="","",IF(K87&lt;&gt;"",K87-E87,TODAY()-E87))</f>
        <v/>
      </c>
      <c r="M87" s="10" t="str">
        <f aca="true">IF(A87="","",IF(AND(H87&lt;&gt;"Cerrado",I87&lt;TODAY()),"Sí","No"))</f>
        <v/>
      </c>
      <c r="N87" s="10"/>
    </row>
    <row r="88" customFormat="false" ht="15" hidden="false" customHeight="false" outlineLevel="0" collapsed="false">
      <c r="A88" s="18"/>
      <c r="B88" s="5"/>
      <c r="C88" s="10"/>
      <c r="D88" s="10"/>
      <c r="E88" s="19"/>
      <c r="F88" s="10"/>
      <c r="G88" s="5"/>
      <c r="H88" s="5"/>
      <c r="I88" s="19"/>
      <c r="J88" s="10"/>
      <c r="K88" s="19"/>
      <c r="L88" s="10" t="str">
        <f aca="true">IF(A88="","",IF(K88&lt;&gt;"",K88-E88,TODAY()-E88))</f>
        <v/>
      </c>
      <c r="M88" s="10" t="str">
        <f aca="true">IF(A88="","",IF(AND(H88&lt;&gt;"Cerrado",I88&lt;TODAY()),"Sí","No"))</f>
        <v/>
      </c>
      <c r="N88" s="10"/>
    </row>
    <row r="89" customFormat="false" ht="15" hidden="false" customHeight="false" outlineLevel="0" collapsed="false">
      <c r="A89" s="18"/>
      <c r="B89" s="5"/>
      <c r="C89" s="10"/>
      <c r="D89" s="10"/>
      <c r="E89" s="19"/>
      <c r="F89" s="10"/>
      <c r="G89" s="5"/>
      <c r="H89" s="5"/>
      <c r="I89" s="19"/>
      <c r="J89" s="10"/>
      <c r="K89" s="19"/>
      <c r="L89" s="10" t="str">
        <f aca="true">IF(A89="","",IF(K89&lt;&gt;"",K89-E89,TODAY()-E89))</f>
        <v/>
      </c>
      <c r="M89" s="10" t="str">
        <f aca="true">IF(A89="","",IF(AND(H89&lt;&gt;"Cerrado",I89&lt;TODAY()),"Sí","No"))</f>
        <v/>
      </c>
      <c r="N89" s="10"/>
    </row>
    <row r="90" customFormat="false" ht="15" hidden="false" customHeight="false" outlineLevel="0" collapsed="false">
      <c r="A90" s="18"/>
      <c r="B90" s="5"/>
      <c r="C90" s="10"/>
      <c r="D90" s="10"/>
      <c r="E90" s="19"/>
      <c r="F90" s="10"/>
      <c r="G90" s="5"/>
      <c r="H90" s="5"/>
      <c r="I90" s="19"/>
      <c r="J90" s="10"/>
      <c r="K90" s="19"/>
      <c r="L90" s="10" t="str">
        <f aca="true">IF(A90="","",IF(K90&lt;&gt;"",K90-E90,TODAY()-E90))</f>
        <v/>
      </c>
      <c r="M90" s="10" t="str">
        <f aca="true">IF(A90="","",IF(AND(H90&lt;&gt;"Cerrado",I90&lt;TODAY()),"Sí","No"))</f>
        <v/>
      </c>
      <c r="N90" s="10"/>
    </row>
    <row r="91" customFormat="false" ht="15" hidden="false" customHeight="false" outlineLevel="0" collapsed="false">
      <c r="A91" s="18"/>
      <c r="B91" s="5"/>
      <c r="C91" s="10"/>
      <c r="D91" s="10"/>
      <c r="E91" s="19"/>
      <c r="F91" s="10"/>
      <c r="G91" s="5"/>
      <c r="H91" s="5"/>
      <c r="I91" s="19"/>
      <c r="J91" s="10"/>
      <c r="K91" s="19"/>
      <c r="L91" s="10" t="str">
        <f aca="true">IF(A91="","",IF(K91&lt;&gt;"",K91-E91,TODAY()-E91))</f>
        <v/>
      </c>
      <c r="M91" s="10" t="str">
        <f aca="true">IF(A91="","",IF(AND(H91&lt;&gt;"Cerrado",I91&lt;TODAY()),"Sí","No"))</f>
        <v/>
      </c>
      <c r="N91" s="10"/>
    </row>
    <row r="92" customFormat="false" ht="15" hidden="false" customHeight="false" outlineLevel="0" collapsed="false">
      <c r="A92" s="18"/>
      <c r="B92" s="5"/>
      <c r="C92" s="10"/>
      <c r="D92" s="10"/>
      <c r="E92" s="19"/>
      <c r="F92" s="10"/>
      <c r="G92" s="5"/>
      <c r="H92" s="5"/>
      <c r="I92" s="19"/>
      <c r="J92" s="10"/>
      <c r="K92" s="19"/>
      <c r="L92" s="10" t="str">
        <f aca="true">IF(A92="","",IF(K92&lt;&gt;"",K92-E92,TODAY()-E92))</f>
        <v/>
      </c>
      <c r="M92" s="10" t="str">
        <f aca="true">IF(A92="","",IF(AND(H92&lt;&gt;"Cerrado",I92&lt;TODAY()),"Sí","No"))</f>
        <v/>
      </c>
      <c r="N92" s="10"/>
    </row>
    <row r="93" customFormat="false" ht="15" hidden="false" customHeight="false" outlineLevel="0" collapsed="false">
      <c r="A93" s="18"/>
      <c r="B93" s="5"/>
      <c r="C93" s="10"/>
      <c r="D93" s="10"/>
      <c r="E93" s="19"/>
      <c r="F93" s="10"/>
      <c r="G93" s="5"/>
      <c r="H93" s="5"/>
      <c r="I93" s="19"/>
      <c r="J93" s="10"/>
      <c r="K93" s="19"/>
      <c r="L93" s="10" t="str">
        <f aca="true">IF(A93="","",IF(K93&lt;&gt;"",K93-E93,TODAY()-E93))</f>
        <v/>
      </c>
      <c r="M93" s="10" t="str">
        <f aca="true">IF(A93="","",IF(AND(H93&lt;&gt;"Cerrado",I93&lt;TODAY()),"Sí","No"))</f>
        <v/>
      </c>
      <c r="N93" s="10"/>
    </row>
    <row r="94" customFormat="false" ht="15" hidden="false" customHeight="false" outlineLevel="0" collapsed="false">
      <c r="A94" s="18"/>
      <c r="B94" s="5"/>
      <c r="C94" s="10"/>
      <c r="D94" s="10"/>
      <c r="E94" s="19"/>
      <c r="F94" s="10"/>
      <c r="G94" s="5"/>
      <c r="H94" s="5"/>
      <c r="I94" s="19"/>
      <c r="J94" s="10"/>
      <c r="K94" s="19"/>
      <c r="L94" s="10" t="str">
        <f aca="true">IF(A94="","",IF(K94&lt;&gt;"",K94-E94,TODAY()-E94))</f>
        <v/>
      </c>
      <c r="M94" s="10" t="str">
        <f aca="true">IF(A94="","",IF(AND(H94&lt;&gt;"Cerrado",I94&lt;TODAY()),"Sí","No"))</f>
        <v/>
      </c>
      <c r="N94" s="10"/>
    </row>
    <row r="95" customFormat="false" ht="15" hidden="false" customHeight="false" outlineLevel="0" collapsed="false">
      <c r="A95" s="18"/>
      <c r="B95" s="5"/>
      <c r="C95" s="10"/>
      <c r="D95" s="10"/>
      <c r="E95" s="19"/>
      <c r="F95" s="10"/>
      <c r="G95" s="5"/>
      <c r="H95" s="5"/>
      <c r="I95" s="19"/>
      <c r="J95" s="10"/>
      <c r="K95" s="19"/>
      <c r="L95" s="10" t="str">
        <f aca="true">IF(A95="","",IF(K95&lt;&gt;"",K95-E95,TODAY()-E95))</f>
        <v/>
      </c>
      <c r="M95" s="10" t="str">
        <f aca="true">IF(A95="","",IF(AND(H95&lt;&gt;"Cerrado",I95&lt;TODAY()),"Sí","No"))</f>
        <v/>
      </c>
      <c r="N95" s="10"/>
    </row>
    <row r="96" customFormat="false" ht="15" hidden="false" customHeight="false" outlineLevel="0" collapsed="false">
      <c r="A96" s="18"/>
      <c r="B96" s="5"/>
      <c r="C96" s="10"/>
      <c r="D96" s="10"/>
      <c r="E96" s="19"/>
      <c r="F96" s="10"/>
      <c r="G96" s="5"/>
      <c r="H96" s="5"/>
      <c r="I96" s="19"/>
      <c r="J96" s="10"/>
      <c r="K96" s="19"/>
      <c r="L96" s="10" t="str">
        <f aca="true">IF(A96="","",IF(K96&lt;&gt;"",K96-E96,TODAY()-E96))</f>
        <v/>
      </c>
      <c r="M96" s="10" t="str">
        <f aca="true">IF(A96="","",IF(AND(H96&lt;&gt;"Cerrado",I96&lt;TODAY()),"Sí","No"))</f>
        <v/>
      </c>
      <c r="N96" s="10"/>
    </row>
    <row r="97" customFormat="false" ht="15" hidden="false" customHeight="false" outlineLevel="0" collapsed="false">
      <c r="A97" s="18"/>
      <c r="B97" s="5"/>
      <c r="C97" s="10"/>
      <c r="D97" s="10"/>
      <c r="E97" s="19"/>
      <c r="F97" s="10"/>
      <c r="G97" s="5"/>
      <c r="H97" s="5"/>
      <c r="I97" s="19"/>
      <c r="J97" s="10"/>
      <c r="K97" s="19"/>
      <c r="L97" s="10" t="str">
        <f aca="true">IF(A97="","",IF(K97&lt;&gt;"",K97-E97,TODAY()-E97))</f>
        <v/>
      </c>
      <c r="M97" s="10" t="str">
        <f aca="true">IF(A97="","",IF(AND(H97&lt;&gt;"Cerrado",I97&lt;TODAY()),"Sí","No"))</f>
        <v/>
      </c>
      <c r="N97" s="10"/>
    </row>
    <row r="98" customFormat="false" ht="15" hidden="false" customHeight="false" outlineLevel="0" collapsed="false">
      <c r="A98" s="18"/>
      <c r="B98" s="5"/>
      <c r="C98" s="10"/>
      <c r="D98" s="10"/>
      <c r="E98" s="19"/>
      <c r="F98" s="10"/>
      <c r="G98" s="5"/>
      <c r="H98" s="5"/>
      <c r="I98" s="19"/>
      <c r="J98" s="10"/>
      <c r="K98" s="19"/>
      <c r="L98" s="10" t="str">
        <f aca="true">IF(A98="","",IF(K98&lt;&gt;"",K98-E98,TODAY()-E98))</f>
        <v/>
      </c>
      <c r="M98" s="10" t="str">
        <f aca="true">IF(A98="","",IF(AND(H98&lt;&gt;"Cerrado",I98&lt;TODAY()),"Sí","No"))</f>
        <v/>
      </c>
      <c r="N98" s="10"/>
    </row>
    <row r="99" customFormat="false" ht="15" hidden="false" customHeight="false" outlineLevel="0" collapsed="false">
      <c r="A99" s="18"/>
      <c r="B99" s="5"/>
      <c r="C99" s="10"/>
      <c r="D99" s="10"/>
      <c r="E99" s="19"/>
      <c r="F99" s="10"/>
      <c r="G99" s="5"/>
      <c r="H99" s="5"/>
      <c r="I99" s="19"/>
      <c r="J99" s="10"/>
      <c r="K99" s="19"/>
      <c r="L99" s="10" t="str">
        <f aca="true">IF(A99="","",IF(K99&lt;&gt;"",K99-E99,TODAY()-E99))</f>
        <v/>
      </c>
      <c r="M99" s="10" t="str">
        <f aca="true">IF(A99="","",IF(AND(H99&lt;&gt;"Cerrado",I99&lt;TODAY()),"Sí","No"))</f>
        <v/>
      </c>
      <c r="N99" s="10"/>
    </row>
    <row r="100" customFormat="false" ht="15" hidden="false" customHeight="false" outlineLevel="0" collapsed="false">
      <c r="A100" s="18"/>
      <c r="B100" s="5"/>
      <c r="C100" s="10"/>
      <c r="D100" s="10"/>
      <c r="E100" s="19"/>
      <c r="F100" s="10"/>
      <c r="G100" s="5"/>
      <c r="H100" s="5"/>
      <c r="I100" s="19"/>
      <c r="J100" s="10"/>
      <c r="K100" s="19"/>
      <c r="L100" s="10" t="str">
        <f aca="true">IF(A100="","",IF(K100&lt;&gt;"",K100-E100,TODAY()-E100))</f>
        <v/>
      </c>
      <c r="M100" s="10" t="str">
        <f aca="true">IF(A100="","",IF(AND(H100&lt;&gt;"Cerrado",I100&lt;TODAY()),"Sí","No"))</f>
        <v/>
      </c>
      <c r="N100" s="10"/>
    </row>
    <row r="101" customFormat="false" ht="15" hidden="false" customHeight="false" outlineLevel="0" collapsed="false">
      <c r="A101" s="18"/>
      <c r="B101" s="5"/>
      <c r="C101" s="10"/>
      <c r="D101" s="10"/>
      <c r="E101" s="19"/>
      <c r="F101" s="10"/>
      <c r="G101" s="5"/>
      <c r="H101" s="5"/>
      <c r="I101" s="19"/>
      <c r="J101" s="10"/>
      <c r="K101" s="19"/>
      <c r="L101" s="10" t="str">
        <f aca="true">IF(A101="","",IF(K101&lt;&gt;"",K101-E101,TODAY()-E101))</f>
        <v/>
      </c>
      <c r="M101" s="10" t="str">
        <f aca="true">IF(A101="","",IF(AND(H101&lt;&gt;"Cerrado",I101&lt;TODAY()),"Sí","No"))</f>
        <v/>
      </c>
      <c r="N101" s="10"/>
    </row>
    <row r="102" customFormat="false" ht="15" hidden="false" customHeight="false" outlineLevel="0" collapsed="false">
      <c r="A102" s="18"/>
      <c r="B102" s="5"/>
      <c r="C102" s="10"/>
      <c r="D102" s="10"/>
      <c r="E102" s="19"/>
      <c r="F102" s="10"/>
      <c r="G102" s="5"/>
      <c r="H102" s="5"/>
      <c r="I102" s="19"/>
      <c r="J102" s="10"/>
      <c r="K102" s="19"/>
      <c r="L102" s="10" t="str">
        <f aca="true">IF(A102="","",IF(K102&lt;&gt;"",K102-E102,TODAY()-E102))</f>
        <v/>
      </c>
      <c r="M102" s="10" t="str">
        <f aca="true">IF(A102="","",IF(AND(H102&lt;&gt;"Cerrado",I102&lt;TODAY()),"Sí","No"))</f>
        <v/>
      </c>
      <c r="N102" s="10"/>
    </row>
    <row r="103" customFormat="false" ht="15" hidden="false" customHeight="false" outlineLevel="0" collapsed="false">
      <c r="A103" s="18"/>
      <c r="B103" s="5"/>
      <c r="C103" s="10"/>
      <c r="D103" s="10"/>
      <c r="E103" s="19"/>
      <c r="F103" s="10"/>
      <c r="G103" s="5"/>
      <c r="H103" s="5"/>
      <c r="I103" s="19"/>
      <c r="J103" s="10"/>
      <c r="K103" s="19"/>
      <c r="L103" s="10" t="str">
        <f aca="true">IF(A103="","",IF(K103&lt;&gt;"",K103-E103,TODAY()-E103))</f>
        <v/>
      </c>
      <c r="M103" s="10" t="str">
        <f aca="true">IF(A103="","",IF(AND(H103&lt;&gt;"Cerrado",I103&lt;TODAY()),"Sí","No"))</f>
        <v/>
      </c>
      <c r="N103" s="10"/>
    </row>
    <row r="104" customFormat="false" ht="15" hidden="false" customHeight="false" outlineLevel="0" collapsed="false">
      <c r="A104" s="18"/>
      <c r="B104" s="5"/>
      <c r="C104" s="10"/>
      <c r="D104" s="10"/>
      <c r="E104" s="19"/>
      <c r="F104" s="10"/>
      <c r="G104" s="5"/>
      <c r="H104" s="5"/>
      <c r="I104" s="19"/>
      <c r="J104" s="10"/>
      <c r="K104" s="19"/>
      <c r="L104" s="10" t="str">
        <f aca="true">IF(A104="","",IF(K104&lt;&gt;"",K104-E104,TODAY()-E104))</f>
        <v/>
      </c>
      <c r="M104" s="10" t="str">
        <f aca="true">IF(A104="","",IF(AND(H104&lt;&gt;"Cerrado",I104&lt;TODAY()),"Sí","No"))</f>
        <v/>
      </c>
      <c r="N104" s="10"/>
    </row>
    <row r="105" customFormat="false" ht="15" hidden="false" customHeight="false" outlineLevel="0" collapsed="false">
      <c r="A105" s="18"/>
      <c r="B105" s="5"/>
      <c r="C105" s="10"/>
      <c r="D105" s="10"/>
      <c r="E105" s="19"/>
      <c r="F105" s="10"/>
      <c r="G105" s="5"/>
      <c r="H105" s="5"/>
      <c r="I105" s="19"/>
      <c r="J105" s="10"/>
      <c r="K105" s="19"/>
      <c r="L105" s="10" t="str">
        <f aca="true">IF(A105="","",IF(K105&lt;&gt;"",K105-E105,TODAY()-E105))</f>
        <v/>
      </c>
      <c r="M105" s="10" t="str">
        <f aca="true">IF(A105="","",IF(AND(H105&lt;&gt;"Cerrado",I105&lt;TODAY()),"Sí","No"))</f>
        <v/>
      </c>
      <c r="N105" s="10"/>
    </row>
    <row r="106" customFormat="false" ht="15" hidden="false" customHeight="false" outlineLevel="0" collapsed="false">
      <c r="A106" s="18"/>
      <c r="B106" s="5"/>
      <c r="C106" s="10"/>
      <c r="D106" s="10"/>
      <c r="E106" s="19"/>
      <c r="F106" s="10"/>
      <c r="G106" s="5"/>
      <c r="H106" s="5"/>
      <c r="I106" s="19"/>
      <c r="J106" s="10"/>
      <c r="K106" s="19"/>
      <c r="L106" s="10" t="str">
        <f aca="true">IF(A106="","",IF(K106&lt;&gt;"",K106-E106,TODAY()-E106))</f>
        <v/>
      </c>
      <c r="M106" s="10" t="str">
        <f aca="true">IF(A106="","",IF(AND(H106&lt;&gt;"Cerrado",I106&lt;TODAY()),"Sí","No"))</f>
        <v/>
      </c>
      <c r="N106" s="10"/>
    </row>
    <row r="107" customFormat="false" ht="15" hidden="false" customHeight="false" outlineLevel="0" collapsed="false">
      <c r="A107" s="18"/>
      <c r="B107" s="5"/>
      <c r="C107" s="10"/>
      <c r="D107" s="10"/>
      <c r="E107" s="19"/>
      <c r="F107" s="10"/>
      <c r="G107" s="5"/>
      <c r="H107" s="5"/>
      <c r="I107" s="19"/>
      <c r="J107" s="10"/>
      <c r="K107" s="19"/>
      <c r="L107" s="10" t="str">
        <f aca="true">IF(A107="","",IF(K107&lt;&gt;"",K107-E107,TODAY()-E107))</f>
        <v/>
      </c>
      <c r="M107" s="10" t="str">
        <f aca="true">IF(A107="","",IF(AND(H107&lt;&gt;"Cerrado",I107&lt;TODAY()),"Sí","No"))</f>
        <v/>
      </c>
      <c r="N107" s="10"/>
    </row>
    <row r="108" customFormat="false" ht="15" hidden="false" customHeight="false" outlineLevel="0" collapsed="false">
      <c r="A108" s="18"/>
      <c r="B108" s="5"/>
      <c r="C108" s="10"/>
      <c r="D108" s="10"/>
      <c r="E108" s="19"/>
      <c r="F108" s="10"/>
      <c r="G108" s="5"/>
      <c r="H108" s="5"/>
      <c r="I108" s="19"/>
      <c r="J108" s="10"/>
      <c r="K108" s="19"/>
      <c r="L108" s="10" t="str">
        <f aca="true">IF(A108="","",IF(K108&lt;&gt;"",K108-E108,TODAY()-E108))</f>
        <v/>
      </c>
      <c r="M108" s="10" t="str">
        <f aca="true">IF(A108="","",IF(AND(H108&lt;&gt;"Cerrado",I108&lt;TODAY()),"Sí","No"))</f>
        <v/>
      </c>
      <c r="N108" s="10"/>
    </row>
    <row r="109" customFormat="false" ht="15" hidden="false" customHeight="false" outlineLevel="0" collapsed="false">
      <c r="A109" s="18"/>
      <c r="B109" s="5"/>
      <c r="C109" s="10"/>
      <c r="D109" s="10"/>
      <c r="E109" s="19"/>
      <c r="F109" s="10"/>
      <c r="G109" s="5"/>
      <c r="H109" s="5"/>
      <c r="I109" s="19"/>
      <c r="J109" s="10"/>
      <c r="K109" s="19"/>
      <c r="L109" s="10" t="str">
        <f aca="true">IF(A109="","",IF(K109&lt;&gt;"",K109-E109,TODAY()-E109))</f>
        <v/>
      </c>
      <c r="M109" s="10" t="str">
        <f aca="true">IF(A109="","",IF(AND(H109&lt;&gt;"Cerrado",I109&lt;TODAY()),"Sí","No"))</f>
        <v/>
      </c>
      <c r="N109" s="10"/>
    </row>
    <row r="110" customFormat="false" ht="15" hidden="false" customHeight="false" outlineLevel="0" collapsed="false">
      <c r="A110" s="18"/>
      <c r="B110" s="5"/>
      <c r="C110" s="10"/>
      <c r="D110" s="10"/>
      <c r="E110" s="19"/>
      <c r="F110" s="10"/>
      <c r="G110" s="5"/>
      <c r="H110" s="5"/>
      <c r="I110" s="19"/>
      <c r="J110" s="10"/>
      <c r="K110" s="19"/>
      <c r="L110" s="10" t="str">
        <f aca="true">IF(A110="","",IF(K110&lt;&gt;"",K110-E110,TODAY()-E110))</f>
        <v/>
      </c>
      <c r="M110" s="10" t="str">
        <f aca="true">IF(A110="","",IF(AND(H110&lt;&gt;"Cerrado",I110&lt;TODAY()),"Sí","No"))</f>
        <v/>
      </c>
      <c r="N110" s="10"/>
    </row>
    <row r="111" customFormat="false" ht="15" hidden="false" customHeight="false" outlineLevel="0" collapsed="false">
      <c r="A111" s="18"/>
      <c r="B111" s="5"/>
      <c r="C111" s="10"/>
      <c r="D111" s="10"/>
      <c r="E111" s="19"/>
      <c r="F111" s="10"/>
      <c r="G111" s="5"/>
      <c r="H111" s="5"/>
      <c r="I111" s="19"/>
      <c r="J111" s="10"/>
      <c r="K111" s="19"/>
      <c r="L111" s="10" t="str">
        <f aca="true">IF(A111="","",IF(K111&lt;&gt;"",K111-E111,TODAY()-E111))</f>
        <v/>
      </c>
      <c r="M111" s="10" t="str">
        <f aca="true">IF(A111="","",IF(AND(H111&lt;&gt;"Cerrado",I111&lt;TODAY()),"Sí","No"))</f>
        <v/>
      </c>
      <c r="N111" s="10"/>
    </row>
    <row r="112" customFormat="false" ht="15" hidden="false" customHeight="false" outlineLevel="0" collapsed="false">
      <c r="A112" s="18"/>
      <c r="B112" s="5"/>
      <c r="C112" s="10"/>
      <c r="D112" s="10"/>
      <c r="E112" s="19"/>
      <c r="F112" s="10"/>
      <c r="G112" s="5"/>
      <c r="H112" s="5"/>
      <c r="I112" s="19"/>
      <c r="J112" s="10"/>
      <c r="K112" s="19"/>
      <c r="L112" s="10" t="str">
        <f aca="true">IF(A112="","",IF(K112&lt;&gt;"",K112-E112,TODAY()-E112))</f>
        <v/>
      </c>
      <c r="M112" s="10" t="str">
        <f aca="true">IF(A112="","",IF(AND(H112&lt;&gt;"Cerrado",I112&lt;TODAY()),"Sí","No"))</f>
        <v/>
      </c>
      <c r="N112" s="10"/>
    </row>
    <row r="113" customFormat="false" ht="15" hidden="false" customHeight="false" outlineLevel="0" collapsed="false">
      <c r="A113" s="18"/>
      <c r="B113" s="5"/>
      <c r="C113" s="10"/>
      <c r="D113" s="10"/>
      <c r="E113" s="19"/>
      <c r="F113" s="10"/>
      <c r="G113" s="5"/>
      <c r="H113" s="5"/>
      <c r="I113" s="19"/>
      <c r="J113" s="10"/>
      <c r="K113" s="19"/>
      <c r="L113" s="10" t="str">
        <f aca="true">IF(A113="","",IF(K113&lt;&gt;"",K113-E113,TODAY()-E113))</f>
        <v/>
      </c>
      <c r="M113" s="10" t="str">
        <f aca="true">IF(A113="","",IF(AND(H113&lt;&gt;"Cerrado",I113&lt;TODAY()),"Sí","No"))</f>
        <v/>
      </c>
      <c r="N113" s="10"/>
    </row>
    <row r="114" customFormat="false" ht="15" hidden="false" customHeight="false" outlineLevel="0" collapsed="false">
      <c r="A114" s="18"/>
      <c r="B114" s="5"/>
      <c r="C114" s="10"/>
      <c r="D114" s="10"/>
      <c r="E114" s="19"/>
      <c r="F114" s="10"/>
      <c r="G114" s="5"/>
      <c r="H114" s="5"/>
      <c r="I114" s="19"/>
      <c r="J114" s="10"/>
      <c r="K114" s="19"/>
      <c r="L114" s="10" t="str">
        <f aca="true">IF(A114="","",IF(K114&lt;&gt;"",K114-E114,TODAY()-E114))</f>
        <v/>
      </c>
      <c r="M114" s="10" t="str">
        <f aca="true">IF(A114="","",IF(AND(H114&lt;&gt;"Cerrado",I114&lt;TODAY()),"Sí","No"))</f>
        <v/>
      </c>
      <c r="N114" s="10"/>
    </row>
    <row r="115" customFormat="false" ht="15" hidden="false" customHeight="false" outlineLevel="0" collapsed="false">
      <c r="A115" s="18"/>
      <c r="B115" s="5"/>
      <c r="C115" s="10"/>
      <c r="D115" s="10"/>
      <c r="E115" s="19"/>
      <c r="F115" s="10"/>
      <c r="G115" s="5"/>
      <c r="H115" s="5"/>
      <c r="I115" s="19"/>
      <c r="J115" s="10"/>
      <c r="K115" s="19"/>
      <c r="L115" s="10" t="str">
        <f aca="true">IF(A115="","",IF(K115&lt;&gt;"",K115-E115,TODAY()-E115))</f>
        <v/>
      </c>
      <c r="M115" s="10" t="str">
        <f aca="true">IF(A115="","",IF(AND(H115&lt;&gt;"Cerrado",I115&lt;TODAY()),"Sí","No"))</f>
        <v/>
      </c>
      <c r="N115" s="10"/>
    </row>
    <row r="116" customFormat="false" ht="15" hidden="false" customHeight="false" outlineLevel="0" collapsed="false">
      <c r="A116" s="18"/>
      <c r="B116" s="5"/>
      <c r="C116" s="10"/>
      <c r="D116" s="10"/>
      <c r="E116" s="19"/>
      <c r="F116" s="10"/>
      <c r="G116" s="5"/>
      <c r="H116" s="5"/>
      <c r="I116" s="19"/>
      <c r="J116" s="10"/>
      <c r="K116" s="19"/>
      <c r="L116" s="10" t="str">
        <f aca="true">IF(A116="","",IF(K116&lt;&gt;"",K116-E116,TODAY()-E116))</f>
        <v/>
      </c>
      <c r="M116" s="10" t="str">
        <f aca="true">IF(A116="","",IF(AND(H116&lt;&gt;"Cerrado",I116&lt;TODAY()),"Sí","No"))</f>
        <v/>
      </c>
      <c r="N116" s="10"/>
    </row>
    <row r="117" customFormat="false" ht="15" hidden="false" customHeight="false" outlineLevel="0" collapsed="false">
      <c r="A117" s="18"/>
      <c r="B117" s="5"/>
      <c r="C117" s="10"/>
      <c r="D117" s="10"/>
      <c r="E117" s="19"/>
      <c r="F117" s="10"/>
      <c r="G117" s="5"/>
      <c r="H117" s="5"/>
      <c r="I117" s="19"/>
      <c r="J117" s="10"/>
      <c r="K117" s="19"/>
      <c r="L117" s="10" t="str">
        <f aca="true">IF(A117="","",IF(K117&lt;&gt;"",K117-E117,TODAY()-E117))</f>
        <v/>
      </c>
      <c r="M117" s="10" t="str">
        <f aca="true">IF(A117="","",IF(AND(H117&lt;&gt;"Cerrado",I117&lt;TODAY()),"Sí","No"))</f>
        <v/>
      </c>
      <c r="N117" s="10"/>
    </row>
    <row r="118" customFormat="false" ht="15" hidden="false" customHeight="false" outlineLevel="0" collapsed="false">
      <c r="A118" s="18"/>
      <c r="B118" s="5"/>
      <c r="C118" s="10"/>
      <c r="D118" s="10"/>
      <c r="E118" s="19"/>
      <c r="F118" s="10"/>
      <c r="G118" s="5"/>
      <c r="H118" s="5"/>
      <c r="I118" s="19"/>
      <c r="J118" s="10"/>
      <c r="K118" s="19"/>
      <c r="L118" s="10" t="str">
        <f aca="true">IF(A118="","",IF(K118&lt;&gt;"",K118-E118,TODAY()-E118))</f>
        <v/>
      </c>
      <c r="M118" s="10" t="str">
        <f aca="true">IF(A118="","",IF(AND(H118&lt;&gt;"Cerrado",I118&lt;TODAY()),"Sí","No"))</f>
        <v/>
      </c>
      <c r="N118" s="10"/>
    </row>
    <row r="119" customFormat="false" ht="15" hidden="false" customHeight="false" outlineLevel="0" collapsed="false">
      <c r="A119" s="18"/>
      <c r="B119" s="5"/>
      <c r="C119" s="10"/>
      <c r="D119" s="10"/>
      <c r="E119" s="19"/>
      <c r="F119" s="10"/>
      <c r="G119" s="5"/>
      <c r="H119" s="5"/>
      <c r="I119" s="19"/>
      <c r="J119" s="10"/>
      <c r="K119" s="19"/>
      <c r="L119" s="10" t="str">
        <f aca="true">IF(A119="","",IF(K119&lt;&gt;"",K119-E119,TODAY()-E119))</f>
        <v/>
      </c>
      <c r="M119" s="10" t="str">
        <f aca="true">IF(A119="","",IF(AND(H119&lt;&gt;"Cerrado",I119&lt;TODAY()),"Sí","No"))</f>
        <v/>
      </c>
      <c r="N119" s="10"/>
    </row>
    <row r="120" customFormat="false" ht="15" hidden="false" customHeight="false" outlineLevel="0" collapsed="false">
      <c r="A120" s="18"/>
      <c r="B120" s="5"/>
      <c r="C120" s="10"/>
      <c r="D120" s="10"/>
      <c r="E120" s="19"/>
      <c r="F120" s="10"/>
      <c r="G120" s="5"/>
      <c r="H120" s="5"/>
      <c r="I120" s="19"/>
      <c r="J120" s="10"/>
      <c r="K120" s="19"/>
      <c r="L120" s="10" t="str">
        <f aca="true">IF(A120="","",IF(K120&lt;&gt;"",K120-E120,TODAY()-E120))</f>
        <v/>
      </c>
      <c r="M120" s="10" t="str">
        <f aca="true">IF(A120="","",IF(AND(H120&lt;&gt;"Cerrado",I120&lt;TODAY()),"Sí","No"))</f>
        <v/>
      </c>
      <c r="N120" s="10"/>
    </row>
    <row r="121" customFormat="false" ht="15" hidden="false" customHeight="false" outlineLevel="0" collapsed="false">
      <c r="A121" s="18"/>
      <c r="B121" s="5"/>
      <c r="C121" s="10"/>
      <c r="D121" s="10"/>
      <c r="E121" s="19"/>
      <c r="F121" s="10"/>
      <c r="G121" s="5"/>
      <c r="H121" s="5"/>
      <c r="I121" s="19"/>
      <c r="J121" s="10"/>
      <c r="K121" s="19"/>
      <c r="L121" s="10" t="str">
        <f aca="true">IF(A121="","",IF(K121&lt;&gt;"",K121-E121,TODAY()-E121))</f>
        <v/>
      </c>
      <c r="M121" s="10" t="str">
        <f aca="true">IF(A121="","",IF(AND(H121&lt;&gt;"Cerrado",I121&lt;TODAY()),"Sí","No"))</f>
        <v/>
      </c>
      <c r="N121" s="10"/>
    </row>
    <row r="122" customFormat="false" ht="15" hidden="false" customHeight="false" outlineLevel="0" collapsed="false">
      <c r="A122" s="18"/>
      <c r="B122" s="5"/>
      <c r="C122" s="10"/>
      <c r="D122" s="10"/>
      <c r="E122" s="19"/>
      <c r="F122" s="10"/>
      <c r="G122" s="5"/>
      <c r="H122" s="5"/>
      <c r="I122" s="19"/>
      <c r="J122" s="10"/>
      <c r="K122" s="19"/>
      <c r="L122" s="10" t="str">
        <f aca="true">IF(A122="","",IF(K122&lt;&gt;"",K122-E122,TODAY()-E122))</f>
        <v/>
      </c>
      <c r="M122" s="10" t="str">
        <f aca="true">IF(A122="","",IF(AND(H122&lt;&gt;"Cerrado",I122&lt;TODAY()),"Sí","No"))</f>
        <v/>
      </c>
      <c r="N122" s="10"/>
    </row>
    <row r="123" customFormat="false" ht="15" hidden="false" customHeight="false" outlineLevel="0" collapsed="false">
      <c r="A123" s="18"/>
      <c r="B123" s="5"/>
      <c r="C123" s="10"/>
      <c r="D123" s="10"/>
      <c r="E123" s="19"/>
      <c r="F123" s="10"/>
      <c r="G123" s="5"/>
      <c r="H123" s="5"/>
      <c r="I123" s="19"/>
      <c r="J123" s="10"/>
      <c r="K123" s="19"/>
      <c r="L123" s="10" t="str">
        <f aca="true">IF(A123="","",IF(K123&lt;&gt;"",K123-E123,TODAY()-E123))</f>
        <v/>
      </c>
      <c r="M123" s="10" t="str">
        <f aca="true">IF(A123="","",IF(AND(H123&lt;&gt;"Cerrado",I123&lt;TODAY()),"Sí","No"))</f>
        <v/>
      </c>
      <c r="N123" s="10"/>
    </row>
    <row r="124" customFormat="false" ht="15" hidden="false" customHeight="false" outlineLevel="0" collapsed="false">
      <c r="A124" s="18"/>
      <c r="B124" s="5"/>
      <c r="C124" s="10"/>
      <c r="D124" s="10"/>
      <c r="E124" s="19"/>
      <c r="F124" s="10"/>
      <c r="G124" s="5"/>
      <c r="H124" s="5"/>
      <c r="I124" s="19"/>
      <c r="J124" s="10"/>
      <c r="K124" s="19"/>
      <c r="L124" s="10" t="str">
        <f aca="true">IF(A124="","",IF(K124&lt;&gt;"",K124-E124,TODAY()-E124))</f>
        <v/>
      </c>
      <c r="M124" s="10" t="str">
        <f aca="true">IF(A124="","",IF(AND(H124&lt;&gt;"Cerrado",I124&lt;TODAY()),"Sí","No"))</f>
        <v/>
      </c>
      <c r="N124" s="10"/>
    </row>
    <row r="125" customFormat="false" ht="15" hidden="false" customHeight="false" outlineLevel="0" collapsed="false">
      <c r="A125" s="18"/>
      <c r="B125" s="5"/>
      <c r="C125" s="10"/>
      <c r="D125" s="10"/>
      <c r="E125" s="19"/>
      <c r="F125" s="10"/>
      <c r="G125" s="5"/>
      <c r="H125" s="5"/>
      <c r="I125" s="19"/>
      <c r="J125" s="10"/>
      <c r="K125" s="19"/>
      <c r="L125" s="10" t="str">
        <f aca="true">IF(A125="","",IF(K125&lt;&gt;"",K125-E125,TODAY()-E125))</f>
        <v/>
      </c>
      <c r="M125" s="10" t="str">
        <f aca="true">IF(A125="","",IF(AND(H125&lt;&gt;"Cerrado",I125&lt;TODAY()),"Sí","No"))</f>
        <v/>
      </c>
      <c r="N125" s="10"/>
    </row>
    <row r="126" customFormat="false" ht="15" hidden="false" customHeight="false" outlineLevel="0" collapsed="false">
      <c r="A126" s="18"/>
      <c r="B126" s="5"/>
      <c r="C126" s="10"/>
      <c r="D126" s="10"/>
      <c r="E126" s="19"/>
      <c r="F126" s="10"/>
      <c r="G126" s="5"/>
      <c r="H126" s="5"/>
      <c r="I126" s="19"/>
      <c r="J126" s="10"/>
      <c r="K126" s="19"/>
      <c r="L126" s="10" t="str">
        <f aca="true">IF(A126="","",IF(K126&lt;&gt;"",K126-E126,TODAY()-E126))</f>
        <v/>
      </c>
      <c r="M126" s="10" t="str">
        <f aca="true">IF(A126="","",IF(AND(H126&lt;&gt;"Cerrado",I126&lt;TODAY()),"Sí","No"))</f>
        <v/>
      </c>
      <c r="N126" s="10"/>
    </row>
    <row r="127" customFormat="false" ht="15" hidden="false" customHeight="false" outlineLevel="0" collapsed="false">
      <c r="A127" s="18"/>
      <c r="B127" s="5"/>
      <c r="C127" s="10"/>
      <c r="D127" s="10"/>
      <c r="E127" s="19"/>
      <c r="F127" s="10"/>
      <c r="G127" s="5"/>
      <c r="H127" s="5"/>
      <c r="I127" s="19"/>
      <c r="J127" s="10"/>
      <c r="K127" s="19"/>
      <c r="L127" s="10" t="str">
        <f aca="true">IF(A127="","",IF(K127&lt;&gt;"",K127-E127,TODAY()-E127))</f>
        <v/>
      </c>
      <c r="M127" s="10" t="str">
        <f aca="true">IF(A127="","",IF(AND(H127&lt;&gt;"Cerrado",I127&lt;TODAY()),"Sí","No"))</f>
        <v/>
      </c>
      <c r="N127" s="10"/>
    </row>
    <row r="128" customFormat="false" ht="15" hidden="false" customHeight="false" outlineLevel="0" collapsed="false">
      <c r="A128" s="18"/>
      <c r="B128" s="5"/>
      <c r="C128" s="10"/>
      <c r="D128" s="10"/>
      <c r="E128" s="19"/>
      <c r="F128" s="10"/>
      <c r="G128" s="5"/>
      <c r="H128" s="5"/>
      <c r="I128" s="19"/>
      <c r="J128" s="10"/>
      <c r="K128" s="19"/>
      <c r="L128" s="10" t="str">
        <f aca="true">IF(A128="","",IF(K128&lt;&gt;"",K128-E128,TODAY()-E128))</f>
        <v/>
      </c>
      <c r="M128" s="10" t="str">
        <f aca="true">IF(A128="","",IF(AND(H128&lt;&gt;"Cerrado",I128&lt;TODAY()),"Sí","No"))</f>
        <v/>
      </c>
      <c r="N128" s="10"/>
    </row>
    <row r="129" customFormat="false" ht="15" hidden="false" customHeight="false" outlineLevel="0" collapsed="false">
      <c r="A129" s="18"/>
      <c r="B129" s="5"/>
      <c r="C129" s="10"/>
      <c r="D129" s="10"/>
      <c r="E129" s="19"/>
      <c r="F129" s="10"/>
      <c r="G129" s="5"/>
      <c r="H129" s="5"/>
      <c r="I129" s="19"/>
      <c r="J129" s="10"/>
      <c r="K129" s="19"/>
      <c r="L129" s="10" t="str">
        <f aca="true">IF(A129="","",IF(K129&lt;&gt;"",K129-E129,TODAY()-E129))</f>
        <v/>
      </c>
      <c r="M129" s="10" t="str">
        <f aca="true">IF(A129="","",IF(AND(H129&lt;&gt;"Cerrado",I129&lt;TODAY()),"Sí","No"))</f>
        <v/>
      </c>
      <c r="N129" s="10"/>
    </row>
    <row r="130" customFormat="false" ht="15" hidden="false" customHeight="false" outlineLevel="0" collapsed="false">
      <c r="A130" s="18"/>
      <c r="B130" s="5"/>
      <c r="C130" s="10"/>
      <c r="D130" s="10"/>
      <c r="E130" s="19"/>
      <c r="F130" s="10"/>
      <c r="G130" s="5"/>
      <c r="H130" s="5"/>
      <c r="I130" s="19"/>
      <c r="J130" s="10"/>
      <c r="K130" s="19"/>
      <c r="L130" s="10" t="str">
        <f aca="true">IF(A130="","",IF(K130&lt;&gt;"",K130-E130,TODAY()-E130))</f>
        <v/>
      </c>
      <c r="M130" s="10" t="str">
        <f aca="true">IF(A130="","",IF(AND(H130&lt;&gt;"Cerrado",I130&lt;TODAY()),"Sí","No"))</f>
        <v/>
      </c>
      <c r="N130" s="10"/>
    </row>
    <row r="131" customFormat="false" ht="15" hidden="false" customHeight="false" outlineLevel="0" collapsed="false">
      <c r="A131" s="18"/>
      <c r="B131" s="5"/>
      <c r="C131" s="10"/>
      <c r="D131" s="10"/>
      <c r="E131" s="19"/>
      <c r="F131" s="10"/>
      <c r="G131" s="5"/>
      <c r="H131" s="5"/>
      <c r="I131" s="19"/>
      <c r="J131" s="10"/>
      <c r="K131" s="19"/>
      <c r="L131" s="10" t="str">
        <f aca="true">IF(A131="","",IF(K131&lt;&gt;"",K131-E131,TODAY()-E131))</f>
        <v/>
      </c>
      <c r="M131" s="10" t="str">
        <f aca="true">IF(A131="","",IF(AND(H131&lt;&gt;"Cerrado",I131&lt;TODAY()),"Sí","No"))</f>
        <v/>
      </c>
      <c r="N131" s="10"/>
    </row>
    <row r="132" customFormat="false" ht="15" hidden="false" customHeight="false" outlineLevel="0" collapsed="false">
      <c r="A132" s="18"/>
      <c r="B132" s="5"/>
      <c r="C132" s="10"/>
      <c r="D132" s="10"/>
      <c r="E132" s="19"/>
      <c r="F132" s="10"/>
      <c r="G132" s="5"/>
      <c r="H132" s="5"/>
      <c r="I132" s="19"/>
      <c r="J132" s="10"/>
      <c r="K132" s="19"/>
      <c r="L132" s="10" t="str">
        <f aca="true">IF(A132="","",IF(K132&lt;&gt;"",K132-E132,TODAY()-E132))</f>
        <v/>
      </c>
      <c r="M132" s="10" t="str">
        <f aca="true">IF(A132="","",IF(AND(H132&lt;&gt;"Cerrado",I132&lt;TODAY()),"Sí","No"))</f>
        <v/>
      </c>
      <c r="N132" s="10"/>
    </row>
    <row r="133" customFormat="false" ht="15" hidden="false" customHeight="false" outlineLevel="0" collapsed="false">
      <c r="A133" s="18"/>
      <c r="B133" s="5"/>
      <c r="C133" s="10"/>
      <c r="D133" s="10"/>
      <c r="E133" s="19"/>
      <c r="F133" s="10"/>
      <c r="G133" s="5"/>
      <c r="H133" s="5"/>
      <c r="I133" s="19"/>
      <c r="J133" s="10"/>
      <c r="K133" s="19"/>
      <c r="L133" s="10" t="str">
        <f aca="true">IF(A133="","",IF(K133&lt;&gt;"",K133-E133,TODAY()-E133))</f>
        <v/>
      </c>
      <c r="M133" s="10" t="str">
        <f aca="true">IF(A133="","",IF(AND(H133&lt;&gt;"Cerrado",I133&lt;TODAY()),"Sí","No"))</f>
        <v/>
      </c>
      <c r="N133" s="10"/>
    </row>
    <row r="134" customFormat="false" ht="15" hidden="false" customHeight="false" outlineLevel="0" collapsed="false">
      <c r="A134" s="18"/>
      <c r="B134" s="5"/>
      <c r="C134" s="10"/>
      <c r="D134" s="10"/>
      <c r="E134" s="19"/>
      <c r="F134" s="10"/>
      <c r="G134" s="5"/>
      <c r="H134" s="5"/>
      <c r="I134" s="19"/>
      <c r="J134" s="10"/>
      <c r="K134" s="19"/>
      <c r="L134" s="10" t="str">
        <f aca="true">IF(A134="","",IF(K134&lt;&gt;"",K134-E134,TODAY()-E134))</f>
        <v/>
      </c>
      <c r="M134" s="10" t="str">
        <f aca="true">IF(A134="","",IF(AND(H134&lt;&gt;"Cerrado",I134&lt;TODAY()),"Sí","No"))</f>
        <v/>
      </c>
      <c r="N134" s="10"/>
    </row>
    <row r="135" customFormat="false" ht="15" hidden="false" customHeight="false" outlineLevel="0" collapsed="false">
      <c r="A135" s="18"/>
      <c r="B135" s="5"/>
      <c r="C135" s="10"/>
      <c r="D135" s="10"/>
      <c r="E135" s="19"/>
      <c r="F135" s="10"/>
      <c r="G135" s="5"/>
      <c r="H135" s="5"/>
      <c r="I135" s="19"/>
      <c r="J135" s="10"/>
      <c r="K135" s="19"/>
      <c r="L135" s="10" t="str">
        <f aca="true">IF(A135="","",IF(K135&lt;&gt;"",K135-E135,TODAY()-E135))</f>
        <v/>
      </c>
      <c r="M135" s="10" t="str">
        <f aca="true">IF(A135="","",IF(AND(H135&lt;&gt;"Cerrado",I135&lt;TODAY()),"Sí","No"))</f>
        <v/>
      </c>
      <c r="N135" s="10"/>
    </row>
    <row r="136" customFormat="false" ht="15" hidden="false" customHeight="false" outlineLevel="0" collapsed="false">
      <c r="A136" s="18"/>
      <c r="B136" s="5"/>
      <c r="C136" s="10"/>
      <c r="D136" s="10"/>
      <c r="E136" s="19"/>
      <c r="F136" s="10"/>
      <c r="G136" s="5"/>
      <c r="H136" s="5"/>
      <c r="I136" s="19"/>
      <c r="J136" s="10"/>
      <c r="K136" s="19"/>
      <c r="L136" s="10" t="str">
        <f aca="true">IF(A136="","",IF(K136&lt;&gt;"",K136-E136,TODAY()-E136))</f>
        <v/>
      </c>
      <c r="M136" s="10" t="str">
        <f aca="true">IF(A136="","",IF(AND(H136&lt;&gt;"Cerrado",I136&lt;TODAY()),"Sí","No"))</f>
        <v/>
      </c>
      <c r="N136" s="10"/>
    </row>
    <row r="137" customFormat="false" ht="15" hidden="false" customHeight="false" outlineLevel="0" collapsed="false">
      <c r="A137" s="18"/>
      <c r="B137" s="5"/>
      <c r="C137" s="10"/>
      <c r="D137" s="10"/>
      <c r="E137" s="19"/>
      <c r="F137" s="10"/>
      <c r="G137" s="5"/>
      <c r="H137" s="5"/>
      <c r="I137" s="19"/>
      <c r="J137" s="10"/>
      <c r="K137" s="19"/>
      <c r="L137" s="10" t="str">
        <f aca="true">IF(A137="","",IF(K137&lt;&gt;"",K137-E137,TODAY()-E137))</f>
        <v/>
      </c>
      <c r="M137" s="10" t="str">
        <f aca="true">IF(A137="","",IF(AND(H137&lt;&gt;"Cerrado",I137&lt;TODAY()),"Sí","No"))</f>
        <v/>
      </c>
      <c r="N137" s="10"/>
    </row>
    <row r="138" customFormat="false" ht="15" hidden="false" customHeight="false" outlineLevel="0" collapsed="false">
      <c r="A138" s="18"/>
      <c r="B138" s="5"/>
      <c r="C138" s="10"/>
      <c r="D138" s="10"/>
      <c r="E138" s="19"/>
      <c r="F138" s="10"/>
      <c r="G138" s="5"/>
      <c r="H138" s="5"/>
      <c r="I138" s="19"/>
      <c r="J138" s="10"/>
      <c r="K138" s="19"/>
      <c r="L138" s="10" t="str">
        <f aca="true">IF(A138="","",IF(K138&lt;&gt;"",K138-E138,TODAY()-E138))</f>
        <v/>
      </c>
      <c r="M138" s="10" t="str">
        <f aca="true">IF(A138="","",IF(AND(H138&lt;&gt;"Cerrado",I138&lt;TODAY()),"Sí","No"))</f>
        <v/>
      </c>
      <c r="N138" s="10"/>
    </row>
    <row r="139" customFormat="false" ht="15" hidden="false" customHeight="false" outlineLevel="0" collapsed="false">
      <c r="A139" s="18"/>
      <c r="B139" s="5"/>
      <c r="C139" s="10"/>
      <c r="D139" s="10"/>
      <c r="E139" s="19"/>
      <c r="F139" s="10"/>
      <c r="G139" s="5"/>
      <c r="H139" s="5"/>
      <c r="I139" s="19"/>
      <c r="J139" s="10"/>
      <c r="K139" s="19"/>
      <c r="L139" s="10" t="str">
        <f aca="true">IF(A139="","",IF(K139&lt;&gt;"",K139-E139,TODAY()-E139))</f>
        <v/>
      </c>
      <c r="M139" s="10" t="str">
        <f aca="true">IF(A139="","",IF(AND(H139&lt;&gt;"Cerrado",I139&lt;TODAY()),"Sí","No"))</f>
        <v/>
      </c>
      <c r="N139" s="10"/>
    </row>
    <row r="140" customFormat="false" ht="15" hidden="false" customHeight="false" outlineLevel="0" collapsed="false">
      <c r="A140" s="18"/>
      <c r="B140" s="5"/>
      <c r="C140" s="10"/>
      <c r="D140" s="10"/>
      <c r="E140" s="19"/>
      <c r="F140" s="10"/>
      <c r="G140" s="5"/>
      <c r="H140" s="5"/>
      <c r="I140" s="19"/>
      <c r="J140" s="10"/>
      <c r="K140" s="19"/>
      <c r="L140" s="10" t="str">
        <f aca="true">IF(A140="","",IF(K140&lt;&gt;"",K140-E140,TODAY()-E140))</f>
        <v/>
      </c>
      <c r="M140" s="10" t="str">
        <f aca="true">IF(A140="","",IF(AND(H140&lt;&gt;"Cerrado",I140&lt;TODAY()),"Sí","No"))</f>
        <v/>
      </c>
      <c r="N140" s="10"/>
    </row>
    <row r="141" customFormat="false" ht="15" hidden="false" customHeight="false" outlineLevel="0" collapsed="false">
      <c r="A141" s="18"/>
      <c r="B141" s="5"/>
      <c r="C141" s="10"/>
      <c r="D141" s="10"/>
      <c r="E141" s="19"/>
      <c r="F141" s="10"/>
      <c r="G141" s="5"/>
      <c r="H141" s="5"/>
      <c r="I141" s="19"/>
      <c r="J141" s="10"/>
      <c r="K141" s="19"/>
      <c r="L141" s="10" t="str">
        <f aca="true">IF(A141="","",IF(K141&lt;&gt;"",K141-E141,TODAY()-E141))</f>
        <v/>
      </c>
      <c r="M141" s="10" t="str">
        <f aca="true">IF(A141="","",IF(AND(H141&lt;&gt;"Cerrado",I141&lt;TODAY()),"Sí","No"))</f>
        <v/>
      </c>
      <c r="N141" s="10"/>
    </row>
    <row r="142" customFormat="false" ht="15" hidden="false" customHeight="false" outlineLevel="0" collapsed="false">
      <c r="A142" s="18"/>
      <c r="B142" s="5"/>
      <c r="C142" s="10"/>
      <c r="D142" s="10"/>
      <c r="E142" s="19"/>
      <c r="F142" s="10"/>
      <c r="G142" s="5"/>
      <c r="H142" s="5"/>
      <c r="I142" s="19"/>
      <c r="J142" s="10"/>
      <c r="K142" s="19"/>
      <c r="L142" s="10" t="str">
        <f aca="true">IF(A142="","",IF(K142&lt;&gt;"",K142-E142,TODAY()-E142))</f>
        <v/>
      </c>
      <c r="M142" s="10" t="str">
        <f aca="true">IF(A142="","",IF(AND(H142&lt;&gt;"Cerrado",I142&lt;TODAY()),"Sí","No"))</f>
        <v/>
      </c>
      <c r="N142" s="10"/>
    </row>
    <row r="143" customFormat="false" ht="15" hidden="false" customHeight="false" outlineLevel="0" collapsed="false">
      <c r="A143" s="18"/>
      <c r="B143" s="5"/>
      <c r="C143" s="10"/>
      <c r="D143" s="10"/>
      <c r="E143" s="19"/>
      <c r="F143" s="10"/>
      <c r="G143" s="5"/>
      <c r="H143" s="5"/>
      <c r="I143" s="19"/>
      <c r="J143" s="10"/>
      <c r="K143" s="19"/>
      <c r="L143" s="10" t="str">
        <f aca="true">IF(A143="","",IF(K143&lt;&gt;"",K143-E143,TODAY()-E143))</f>
        <v/>
      </c>
      <c r="M143" s="10" t="str">
        <f aca="true">IF(A143="","",IF(AND(H143&lt;&gt;"Cerrado",I143&lt;TODAY()),"Sí","No"))</f>
        <v/>
      </c>
      <c r="N143" s="10"/>
    </row>
    <row r="144" customFormat="false" ht="15" hidden="false" customHeight="false" outlineLevel="0" collapsed="false">
      <c r="A144" s="18"/>
      <c r="B144" s="5"/>
      <c r="C144" s="10"/>
      <c r="D144" s="10"/>
      <c r="E144" s="19"/>
      <c r="F144" s="10"/>
      <c r="G144" s="5"/>
      <c r="H144" s="5"/>
      <c r="I144" s="19"/>
      <c r="J144" s="10"/>
      <c r="K144" s="19"/>
      <c r="L144" s="10" t="str">
        <f aca="true">IF(A144="","",IF(K144&lt;&gt;"",K144-E144,TODAY()-E144))</f>
        <v/>
      </c>
      <c r="M144" s="10" t="str">
        <f aca="true">IF(A144="","",IF(AND(H144&lt;&gt;"Cerrado",I144&lt;TODAY()),"Sí","No"))</f>
        <v/>
      </c>
      <c r="N144" s="10"/>
    </row>
    <row r="145" customFormat="false" ht="15" hidden="false" customHeight="false" outlineLevel="0" collapsed="false">
      <c r="A145" s="18"/>
      <c r="B145" s="5"/>
      <c r="C145" s="10"/>
      <c r="D145" s="10"/>
      <c r="E145" s="19"/>
      <c r="F145" s="10"/>
      <c r="G145" s="5"/>
      <c r="H145" s="5"/>
      <c r="I145" s="19"/>
      <c r="J145" s="10"/>
      <c r="K145" s="19"/>
      <c r="L145" s="10" t="str">
        <f aca="true">IF(A145="","",IF(K145&lt;&gt;"",K145-E145,TODAY()-E145))</f>
        <v/>
      </c>
      <c r="M145" s="10" t="str">
        <f aca="true">IF(A145="","",IF(AND(H145&lt;&gt;"Cerrado",I145&lt;TODAY()),"Sí","No"))</f>
        <v/>
      </c>
      <c r="N145" s="10"/>
    </row>
    <row r="146" customFormat="false" ht="15" hidden="false" customHeight="false" outlineLevel="0" collapsed="false">
      <c r="A146" s="18"/>
      <c r="B146" s="5"/>
      <c r="C146" s="10"/>
      <c r="D146" s="10"/>
      <c r="E146" s="19"/>
      <c r="F146" s="10"/>
      <c r="G146" s="5"/>
      <c r="H146" s="5"/>
      <c r="I146" s="19"/>
      <c r="J146" s="10"/>
      <c r="K146" s="19"/>
      <c r="L146" s="10" t="str">
        <f aca="true">IF(A146="","",IF(K146&lt;&gt;"",K146-E146,TODAY()-E146))</f>
        <v/>
      </c>
      <c r="M146" s="10" t="str">
        <f aca="true">IF(A146="","",IF(AND(H146&lt;&gt;"Cerrado",I146&lt;TODAY()),"Sí","No"))</f>
        <v/>
      </c>
      <c r="N146" s="10"/>
    </row>
    <row r="147" customFormat="false" ht="15" hidden="false" customHeight="false" outlineLevel="0" collapsed="false">
      <c r="A147" s="18"/>
      <c r="B147" s="5"/>
      <c r="C147" s="10"/>
      <c r="D147" s="10"/>
      <c r="E147" s="19"/>
      <c r="F147" s="10"/>
      <c r="G147" s="5"/>
      <c r="H147" s="5"/>
      <c r="I147" s="19"/>
      <c r="J147" s="10"/>
      <c r="K147" s="19"/>
      <c r="L147" s="10" t="str">
        <f aca="true">IF(A147="","",IF(K147&lt;&gt;"",K147-E147,TODAY()-E147))</f>
        <v/>
      </c>
      <c r="M147" s="10" t="str">
        <f aca="true">IF(A147="","",IF(AND(H147&lt;&gt;"Cerrado",I147&lt;TODAY()),"Sí","No"))</f>
        <v/>
      </c>
      <c r="N147" s="10"/>
    </row>
    <row r="148" customFormat="false" ht="15" hidden="false" customHeight="false" outlineLevel="0" collapsed="false">
      <c r="A148" s="18"/>
      <c r="B148" s="5"/>
      <c r="C148" s="10"/>
      <c r="D148" s="10"/>
      <c r="E148" s="19"/>
      <c r="F148" s="10"/>
      <c r="G148" s="5"/>
      <c r="H148" s="5"/>
      <c r="I148" s="19"/>
      <c r="J148" s="10"/>
      <c r="K148" s="19"/>
      <c r="L148" s="10" t="str">
        <f aca="true">IF(A148="","",IF(K148&lt;&gt;"",K148-E148,TODAY()-E148))</f>
        <v/>
      </c>
      <c r="M148" s="10" t="str">
        <f aca="true">IF(A148="","",IF(AND(H148&lt;&gt;"Cerrado",I148&lt;TODAY()),"Sí","No"))</f>
        <v/>
      </c>
      <c r="N148" s="10"/>
    </row>
    <row r="149" customFormat="false" ht="15" hidden="false" customHeight="false" outlineLevel="0" collapsed="false">
      <c r="A149" s="18"/>
      <c r="B149" s="5"/>
      <c r="C149" s="10"/>
      <c r="D149" s="10"/>
      <c r="E149" s="19"/>
      <c r="F149" s="10"/>
      <c r="G149" s="5"/>
      <c r="H149" s="5"/>
      <c r="I149" s="19"/>
      <c r="J149" s="10"/>
      <c r="K149" s="19"/>
      <c r="L149" s="10" t="str">
        <f aca="true">IF(A149="","",IF(K149&lt;&gt;"",K149-E149,TODAY()-E149))</f>
        <v/>
      </c>
      <c r="M149" s="10" t="str">
        <f aca="true">IF(A149="","",IF(AND(H149&lt;&gt;"Cerrado",I149&lt;TODAY()),"Sí","No"))</f>
        <v/>
      </c>
      <c r="N149" s="10"/>
    </row>
    <row r="150" customFormat="false" ht="15" hidden="false" customHeight="false" outlineLevel="0" collapsed="false">
      <c r="A150" s="18"/>
      <c r="B150" s="5"/>
      <c r="C150" s="10"/>
      <c r="D150" s="10"/>
      <c r="E150" s="19"/>
      <c r="F150" s="10"/>
      <c r="G150" s="5"/>
      <c r="H150" s="5"/>
      <c r="I150" s="19"/>
      <c r="J150" s="10"/>
      <c r="K150" s="19"/>
      <c r="L150" s="10" t="str">
        <f aca="true">IF(A150="","",IF(K150&lt;&gt;"",K150-E150,TODAY()-E150))</f>
        <v/>
      </c>
      <c r="M150" s="10" t="str">
        <f aca="true">IF(A150="","",IF(AND(H150&lt;&gt;"Cerrado",I150&lt;TODAY()),"Sí","No"))</f>
        <v/>
      </c>
      <c r="N150" s="10"/>
    </row>
    <row r="151" customFormat="false" ht="15" hidden="false" customHeight="false" outlineLevel="0" collapsed="false">
      <c r="A151" s="18"/>
      <c r="B151" s="5"/>
      <c r="C151" s="10"/>
      <c r="D151" s="10"/>
      <c r="E151" s="19"/>
      <c r="F151" s="10"/>
      <c r="G151" s="5"/>
      <c r="H151" s="5"/>
      <c r="I151" s="19"/>
      <c r="J151" s="10"/>
      <c r="K151" s="19"/>
      <c r="L151" s="10" t="str">
        <f aca="true">IF(A151="","",IF(K151&lt;&gt;"",K151-E151,TODAY()-E151))</f>
        <v/>
      </c>
      <c r="M151" s="10" t="str">
        <f aca="true">IF(A151="","",IF(AND(H151&lt;&gt;"Cerrado",I151&lt;TODAY()),"Sí","No"))</f>
        <v/>
      </c>
      <c r="N151" s="10"/>
    </row>
    <row r="152" customFormat="false" ht="15" hidden="false" customHeight="false" outlineLevel="0" collapsed="false">
      <c r="A152" s="18"/>
      <c r="B152" s="5"/>
      <c r="C152" s="10"/>
      <c r="D152" s="10"/>
      <c r="E152" s="19"/>
      <c r="F152" s="10"/>
      <c r="G152" s="5"/>
      <c r="H152" s="5"/>
      <c r="I152" s="19"/>
      <c r="J152" s="10"/>
      <c r="K152" s="19"/>
      <c r="L152" s="10" t="str">
        <f aca="true">IF(A152="","",IF(K152&lt;&gt;"",K152-E152,TODAY()-E152))</f>
        <v/>
      </c>
      <c r="M152" s="10" t="str">
        <f aca="true">IF(A152="","",IF(AND(H152&lt;&gt;"Cerrado",I152&lt;TODAY()),"Sí","No"))</f>
        <v/>
      </c>
      <c r="N152" s="10"/>
    </row>
    <row r="153" customFormat="false" ht="15" hidden="false" customHeight="false" outlineLevel="0" collapsed="false">
      <c r="A153" s="18"/>
      <c r="B153" s="5"/>
      <c r="C153" s="10"/>
      <c r="D153" s="10"/>
      <c r="E153" s="19"/>
      <c r="F153" s="10"/>
      <c r="G153" s="5"/>
      <c r="H153" s="5"/>
      <c r="I153" s="19"/>
      <c r="J153" s="10"/>
      <c r="K153" s="19"/>
      <c r="L153" s="10" t="str">
        <f aca="true">IF(A153="","",IF(K153&lt;&gt;"",K153-E153,TODAY()-E153))</f>
        <v/>
      </c>
      <c r="M153" s="10" t="str">
        <f aca="true">IF(A153="","",IF(AND(H153&lt;&gt;"Cerrado",I153&lt;TODAY()),"Sí","No"))</f>
        <v/>
      </c>
      <c r="N153" s="10"/>
    </row>
    <row r="154" customFormat="false" ht="15" hidden="false" customHeight="false" outlineLevel="0" collapsed="false">
      <c r="A154" s="18"/>
      <c r="B154" s="5"/>
      <c r="C154" s="10"/>
      <c r="D154" s="10"/>
      <c r="E154" s="19"/>
      <c r="F154" s="10"/>
      <c r="G154" s="5"/>
      <c r="H154" s="5"/>
      <c r="I154" s="19"/>
      <c r="J154" s="10"/>
      <c r="K154" s="19"/>
      <c r="L154" s="10" t="str">
        <f aca="true">IF(A154="","",IF(K154&lt;&gt;"",K154-E154,TODAY()-E154))</f>
        <v/>
      </c>
      <c r="M154" s="10" t="str">
        <f aca="true">IF(A154="","",IF(AND(H154&lt;&gt;"Cerrado",I154&lt;TODAY()),"Sí","No"))</f>
        <v/>
      </c>
      <c r="N154" s="10"/>
    </row>
    <row r="155" customFormat="false" ht="15" hidden="false" customHeight="false" outlineLevel="0" collapsed="false">
      <c r="A155" s="18"/>
      <c r="B155" s="5"/>
      <c r="C155" s="10"/>
      <c r="D155" s="10"/>
      <c r="E155" s="19"/>
      <c r="F155" s="10"/>
      <c r="G155" s="5"/>
      <c r="H155" s="5"/>
      <c r="I155" s="19"/>
      <c r="J155" s="10"/>
      <c r="K155" s="19"/>
      <c r="L155" s="10" t="str">
        <f aca="true">IF(A155="","",IF(K155&lt;&gt;"",K155-E155,TODAY()-E155))</f>
        <v/>
      </c>
      <c r="M155" s="10" t="str">
        <f aca="true">IF(A155="","",IF(AND(H155&lt;&gt;"Cerrado",I155&lt;TODAY()),"Sí","No"))</f>
        <v/>
      </c>
      <c r="N155" s="10"/>
    </row>
    <row r="156" customFormat="false" ht="15" hidden="false" customHeight="false" outlineLevel="0" collapsed="false">
      <c r="A156" s="18"/>
      <c r="B156" s="5"/>
      <c r="C156" s="10"/>
      <c r="D156" s="10"/>
      <c r="E156" s="19"/>
      <c r="F156" s="10"/>
      <c r="G156" s="5"/>
      <c r="H156" s="5"/>
      <c r="I156" s="19"/>
      <c r="J156" s="10"/>
      <c r="K156" s="19"/>
      <c r="L156" s="10" t="str">
        <f aca="true">IF(A156="","",IF(K156&lt;&gt;"",K156-E156,TODAY()-E156))</f>
        <v/>
      </c>
      <c r="M156" s="10" t="str">
        <f aca="true">IF(A156="","",IF(AND(H156&lt;&gt;"Cerrado",I156&lt;TODAY()),"Sí","No"))</f>
        <v/>
      </c>
      <c r="N156" s="10"/>
    </row>
    <row r="157" customFormat="false" ht="15" hidden="false" customHeight="false" outlineLevel="0" collapsed="false">
      <c r="A157" s="18"/>
      <c r="B157" s="5"/>
      <c r="C157" s="10"/>
      <c r="D157" s="10"/>
      <c r="E157" s="19"/>
      <c r="F157" s="10"/>
      <c r="G157" s="5"/>
      <c r="H157" s="5"/>
      <c r="I157" s="19"/>
      <c r="J157" s="10"/>
      <c r="K157" s="19"/>
      <c r="L157" s="10" t="str">
        <f aca="true">IF(A157="","",IF(K157&lt;&gt;"",K157-E157,TODAY()-E157))</f>
        <v/>
      </c>
      <c r="M157" s="10" t="str">
        <f aca="true">IF(A157="","",IF(AND(H157&lt;&gt;"Cerrado",I157&lt;TODAY()),"Sí","No"))</f>
        <v/>
      </c>
      <c r="N157" s="10"/>
    </row>
    <row r="158" customFormat="false" ht="15" hidden="false" customHeight="false" outlineLevel="0" collapsed="false">
      <c r="A158" s="18"/>
      <c r="B158" s="5"/>
      <c r="C158" s="10"/>
      <c r="D158" s="10"/>
      <c r="E158" s="19"/>
      <c r="F158" s="10"/>
      <c r="G158" s="5"/>
      <c r="H158" s="5"/>
      <c r="I158" s="19"/>
      <c r="J158" s="10"/>
      <c r="K158" s="19"/>
      <c r="L158" s="10" t="str">
        <f aca="true">IF(A158="","",IF(K158&lt;&gt;"",K158-E158,TODAY()-E158))</f>
        <v/>
      </c>
      <c r="M158" s="10" t="str">
        <f aca="true">IF(A158="","",IF(AND(H158&lt;&gt;"Cerrado",I158&lt;TODAY()),"Sí","No"))</f>
        <v/>
      </c>
      <c r="N158" s="10"/>
    </row>
    <row r="159" customFormat="false" ht="15" hidden="false" customHeight="false" outlineLevel="0" collapsed="false">
      <c r="A159" s="18"/>
      <c r="B159" s="5"/>
      <c r="C159" s="10"/>
      <c r="D159" s="10"/>
      <c r="E159" s="19"/>
      <c r="F159" s="10"/>
      <c r="G159" s="5"/>
      <c r="H159" s="5"/>
      <c r="I159" s="19"/>
      <c r="J159" s="10"/>
      <c r="K159" s="19"/>
      <c r="L159" s="10" t="str">
        <f aca="true">IF(A159="","",IF(K159&lt;&gt;"",K159-E159,TODAY()-E159))</f>
        <v/>
      </c>
      <c r="M159" s="10" t="str">
        <f aca="true">IF(A159="","",IF(AND(H159&lt;&gt;"Cerrado",I159&lt;TODAY()),"Sí","No"))</f>
        <v/>
      </c>
      <c r="N159" s="10"/>
    </row>
    <row r="160" customFormat="false" ht="15" hidden="false" customHeight="false" outlineLevel="0" collapsed="false">
      <c r="A160" s="18"/>
      <c r="B160" s="5"/>
      <c r="C160" s="10"/>
      <c r="D160" s="10"/>
      <c r="E160" s="19"/>
      <c r="F160" s="10"/>
      <c r="G160" s="5"/>
      <c r="H160" s="5"/>
      <c r="I160" s="19"/>
      <c r="J160" s="10"/>
      <c r="K160" s="19"/>
      <c r="L160" s="10" t="str">
        <f aca="true">IF(A160="","",IF(K160&lt;&gt;"",K160-E160,TODAY()-E160))</f>
        <v/>
      </c>
      <c r="M160" s="10" t="str">
        <f aca="true">IF(A160="","",IF(AND(H160&lt;&gt;"Cerrado",I160&lt;TODAY()),"Sí","No"))</f>
        <v/>
      </c>
      <c r="N160" s="10"/>
    </row>
    <row r="161" customFormat="false" ht="15" hidden="false" customHeight="false" outlineLevel="0" collapsed="false">
      <c r="A161" s="18"/>
      <c r="B161" s="5"/>
      <c r="C161" s="10"/>
      <c r="D161" s="10"/>
      <c r="E161" s="19"/>
      <c r="F161" s="10"/>
      <c r="G161" s="5"/>
      <c r="H161" s="5"/>
      <c r="I161" s="19"/>
      <c r="J161" s="10"/>
      <c r="K161" s="19"/>
      <c r="L161" s="10" t="str">
        <f aca="true">IF(A161="","",IF(K161&lt;&gt;"",K161-E161,TODAY()-E161))</f>
        <v/>
      </c>
      <c r="M161" s="10" t="str">
        <f aca="true">IF(A161="","",IF(AND(H161&lt;&gt;"Cerrado",I161&lt;TODAY()),"Sí","No"))</f>
        <v/>
      </c>
      <c r="N161" s="10"/>
    </row>
    <row r="162" customFormat="false" ht="15" hidden="false" customHeight="false" outlineLevel="0" collapsed="false">
      <c r="A162" s="18"/>
      <c r="B162" s="5"/>
      <c r="C162" s="10"/>
      <c r="D162" s="10"/>
      <c r="E162" s="19"/>
      <c r="F162" s="10"/>
      <c r="G162" s="5"/>
      <c r="H162" s="5"/>
      <c r="I162" s="19"/>
      <c r="J162" s="10"/>
      <c r="K162" s="19"/>
      <c r="L162" s="10" t="str">
        <f aca="true">IF(A162="","",IF(K162&lt;&gt;"",K162-E162,TODAY()-E162))</f>
        <v/>
      </c>
      <c r="M162" s="10" t="str">
        <f aca="true">IF(A162="","",IF(AND(H162&lt;&gt;"Cerrado",I162&lt;TODAY()),"Sí","No"))</f>
        <v/>
      </c>
      <c r="N162" s="10"/>
    </row>
    <row r="163" customFormat="false" ht="15" hidden="false" customHeight="false" outlineLevel="0" collapsed="false">
      <c r="A163" s="18"/>
      <c r="B163" s="5"/>
      <c r="C163" s="10"/>
      <c r="D163" s="10"/>
      <c r="E163" s="19"/>
      <c r="F163" s="10"/>
      <c r="G163" s="5"/>
      <c r="H163" s="5"/>
      <c r="I163" s="19"/>
      <c r="J163" s="10"/>
      <c r="K163" s="19"/>
      <c r="L163" s="10" t="str">
        <f aca="true">IF(A163="","",IF(K163&lt;&gt;"",K163-E163,TODAY()-E163))</f>
        <v/>
      </c>
      <c r="M163" s="10" t="str">
        <f aca="true">IF(A163="","",IF(AND(H163&lt;&gt;"Cerrado",I163&lt;TODAY()),"Sí","No"))</f>
        <v/>
      </c>
      <c r="N163" s="10"/>
    </row>
    <row r="164" customFormat="false" ht="15" hidden="false" customHeight="false" outlineLevel="0" collapsed="false">
      <c r="A164" s="18"/>
      <c r="B164" s="5"/>
      <c r="C164" s="10"/>
      <c r="D164" s="10"/>
      <c r="E164" s="19"/>
      <c r="F164" s="10"/>
      <c r="G164" s="5"/>
      <c r="H164" s="5"/>
      <c r="I164" s="19"/>
      <c r="J164" s="10"/>
      <c r="K164" s="19"/>
      <c r="L164" s="10" t="str">
        <f aca="true">IF(A164="","",IF(K164&lt;&gt;"",K164-E164,TODAY()-E164))</f>
        <v/>
      </c>
      <c r="M164" s="10" t="str">
        <f aca="true">IF(A164="","",IF(AND(H164&lt;&gt;"Cerrado",I164&lt;TODAY()),"Sí","No"))</f>
        <v/>
      </c>
      <c r="N164" s="10"/>
    </row>
    <row r="165" customFormat="false" ht="15" hidden="false" customHeight="false" outlineLevel="0" collapsed="false">
      <c r="A165" s="18"/>
      <c r="B165" s="5"/>
      <c r="C165" s="10"/>
      <c r="D165" s="10"/>
      <c r="E165" s="19"/>
      <c r="F165" s="10"/>
      <c r="G165" s="5"/>
      <c r="H165" s="5"/>
      <c r="I165" s="19"/>
      <c r="J165" s="10"/>
      <c r="K165" s="19"/>
      <c r="L165" s="10" t="str">
        <f aca="true">IF(A165="","",IF(K165&lt;&gt;"",K165-E165,TODAY()-E165))</f>
        <v/>
      </c>
      <c r="M165" s="10" t="str">
        <f aca="true">IF(A165="","",IF(AND(H165&lt;&gt;"Cerrado",I165&lt;TODAY()),"Sí","No"))</f>
        <v/>
      </c>
      <c r="N165" s="10"/>
    </row>
    <row r="166" customFormat="false" ht="15" hidden="false" customHeight="false" outlineLevel="0" collapsed="false">
      <c r="A166" s="18"/>
      <c r="B166" s="5"/>
      <c r="C166" s="10"/>
      <c r="D166" s="10"/>
      <c r="E166" s="19"/>
      <c r="F166" s="10"/>
      <c r="G166" s="5"/>
      <c r="H166" s="5"/>
      <c r="I166" s="19"/>
      <c r="J166" s="10"/>
      <c r="K166" s="19"/>
      <c r="L166" s="10" t="str">
        <f aca="true">IF(A166="","",IF(K166&lt;&gt;"",K166-E166,TODAY()-E166))</f>
        <v/>
      </c>
      <c r="M166" s="10" t="str">
        <f aca="true">IF(A166="","",IF(AND(H166&lt;&gt;"Cerrado",I166&lt;TODAY()),"Sí","No"))</f>
        <v/>
      </c>
      <c r="N166" s="10"/>
    </row>
    <row r="167" customFormat="false" ht="15" hidden="false" customHeight="false" outlineLevel="0" collapsed="false">
      <c r="A167" s="18"/>
      <c r="B167" s="5"/>
      <c r="C167" s="10"/>
      <c r="D167" s="10"/>
      <c r="E167" s="19"/>
      <c r="F167" s="10"/>
      <c r="G167" s="5"/>
      <c r="H167" s="5"/>
      <c r="I167" s="19"/>
      <c r="J167" s="10"/>
      <c r="K167" s="19"/>
      <c r="L167" s="10" t="str">
        <f aca="true">IF(A167="","",IF(K167&lt;&gt;"",K167-E167,TODAY()-E167))</f>
        <v/>
      </c>
      <c r="M167" s="10" t="str">
        <f aca="true">IF(A167="","",IF(AND(H167&lt;&gt;"Cerrado",I167&lt;TODAY()),"Sí","No"))</f>
        <v/>
      </c>
      <c r="N167" s="10"/>
    </row>
    <row r="168" customFormat="false" ht="15" hidden="false" customHeight="false" outlineLevel="0" collapsed="false">
      <c r="A168" s="18"/>
      <c r="B168" s="5"/>
      <c r="C168" s="10"/>
      <c r="D168" s="10"/>
      <c r="E168" s="19"/>
      <c r="F168" s="10"/>
      <c r="G168" s="5"/>
      <c r="H168" s="5"/>
      <c r="I168" s="19"/>
      <c r="J168" s="10"/>
      <c r="K168" s="19"/>
      <c r="L168" s="10" t="str">
        <f aca="true">IF(A168="","",IF(K168&lt;&gt;"",K168-E168,TODAY()-E168))</f>
        <v/>
      </c>
      <c r="M168" s="10" t="str">
        <f aca="true">IF(A168="","",IF(AND(H168&lt;&gt;"Cerrado",I168&lt;TODAY()),"Sí","No"))</f>
        <v/>
      </c>
      <c r="N168" s="10"/>
    </row>
    <row r="169" customFormat="false" ht="15" hidden="false" customHeight="false" outlineLevel="0" collapsed="false">
      <c r="A169" s="18"/>
      <c r="B169" s="5"/>
      <c r="C169" s="10"/>
      <c r="D169" s="10"/>
      <c r="E169" s="19"/>
      <c r="F169" s="10"/>
      <c r="G169" s="5"/>
      <c r="H169" s="5"/>
      <c r="I169" s="19"/>
      <c r="J169" s="10"/>
      <c r="K169" s="19"/>
      <c r="L169" s="10" t="str">
        <f aca="true">IF(A169="","",IF(K169&lt;&gt;"",K169-E169,TODAY()-E169))</f>
        <v/>
      </c>
      <c r="M169" s="10" t="str">
        <f aca="true">IF(A169="","",IF(AND(H169&lt;&gt;"Cerrado",I169&lt;TODAY()),"Sí","No"))</f>
        <v/>
      </c>
      <c r="N169" s="10"/>
    </row>
    <row r="170" customFormat="false" ht="15" hidden="false" customHeight="false" outlineLevel="0" collapsed="false">
      <c r="A170" s="18"/>
      <c r="B170" s="5"/>
      <c r="C170" s="10"/>
      <c r="D170" s="10"/>
      <c r="E170" s="19"/>
      <c r="F170" s="10"/>
      <c r="G170" s="5"/>
      <c r="H170" s="5"/>
      <c r="I170" s="19"/>
      <c r="J170" s="10"/>
      <c r="K170" s="19"/>
      <c r="L170" s="10" t="str">
        <f aca="true">IF(A170="","",IF(K170&lt;&gt;"",K170-E170,TODAY()-E170))</f>
        <v/>
      </c>
      <c r="M170" s="10" t="str">
        <f aca="true">IF(A170="","",IF(AND(H170&lt;&gt;"Cerrado",I170&lt;TODAY()),"Sí","No"))</f>
        <v/>
      </c>
      <c r="N170" s="10"/>
    </row>
    <row r="171" customFormat="false" ht="15" hidden="false" customHeight="false" outlineLevel="0" collapsed="false">
      <c r="A171" s="18"/>
      <c r="B171" s="5"/>
      <c r="C171" s="10"/>
      <c r="D171" s="10"/>
      <c r="E171" s="19"/>
      <c r="F171" s="10"/>
      <c r="G171" s="5"/>
      <c r="H171" s="5"/>
      <c r="I171" s="19"/>
      <c r="J171" s="10"/>
      <c r="K171" s="19"/>
      <c r="L171" s="10" t="str">
        <f aca="true">IF(A171="","",IF(K171&lt;&gt;"",K171-E171,TODAY()-E171))</f>
        <v/>
      </c>
      <c r="M171" s="10" t="str">
        <f aca="true">IF(A171="","",IF(AND(H171&lt;&gt;"Cerrado",I171&lt;TODAY()),"Sí","No"))</f>
        <v/>
      </c>
      <c r="N171" s="10"/>
    </row>
    <row r="172" customFormat="false" ht="15" hidden="false" customHeight="false" outlineLevel="0" collapsed="false">
      <c r="A172" s="18"/>
      <c r="B172" s="5"/>
      <c r="C172" s="10"/>
      <c r="D172" s="10"/>
      <c r="E172" s="19"/>
      <c r="F172" s="10"/>
      <c r="G172" s="5"/>
      <c r="H172" s="5"/>
      <c r="I172" s="19"/>
      <c r="J172" s="10"/>
      <c r="K172" s="19"/>
      <c r="L172" s="10" t="str">
        <f aca="true">IF(A172="","",IF(K172&lt;&gt;"",K172-E172,TODAY()-E172))</f>
        <v/>
      </c>
      <c r="M172" s="10" t="str">
        <f aca="true">IF(A172="","",IF(AND(H172&lt;&gt;"Cerrado",I172&lt;TODAY()),"Sí","No"))</f>
        <v/>
      </c>
      <c r="N172" s="10"/>
    </row>
    <row r="173" customFormat="false" ht="15" hidden="false" customHeight="false" outlineLevel="0" collapsed="false">
      <c r="A173" s="18"/>
      <c r="B173" s="5"/>
      <c r="C173" s="10"/>
      <c r="D173" s="10"/>
      <c r="E173" s="19"/>
      <c r="F173" s="10"/>
      <c r="G173" s="5"/>
      <c r="H173" s="5"/>
      <c r="I173" s="19"/>
      <c r="J173" s="10"/>
      <c r="K173" s="19"/>
      <c r="L173" s="10" t="str">
        <f aca="true">IF(A173="","",IF(K173&lt;&gt;"",K173-E173,TODAY()-E173))</f>
        <v/>
      </c>
      <c r="M173" s="10" t="str">
        <f aca="true">IF(A173="","",IF(AND(H173&lt;&gt;"Cerrado",I173&lt;TODAY()),"Sí","No"))</f>
        <v/>
      </c>
      <c r="N173" s="10"/>
    </row>
    <row r="174" customFormat="false" ht="15" hidden="false" customHeight="false" outlineLevel="0" collapsed="false">
      <c r="A174" s="18"/>
      <c r="B174" s="5"/>
      <c r="C174" s="10"/>
      <c r="D174" s="10"/>
      <c r="E174" s="19"/>
      <c r="F174" s="10"/>
      <c r="G174" s="5"/>
      <c r="H174" s="5"/>
      <c r="I174" s="19"/>
      <c r="J174" s="10"/>
      <c r="K174" s="19"/>
      <c r="L174" s="10" t="str">
        <f aca="true">IF(A174="","",IF(K174&lt;&gt;"",K174-E174,TODAY()-E174))</f>
        <v/>
      </c>
      <c r="M174" s="10" t="str">
        <f aca="true">IF(A174="","",IF(AND(H174&lt;&gt;"Cerrado",I174&lt;TODAY()),"Sí","No"))</f>
        <v/>
      </c>
      <c r="N174" s="10"/>
    </row>
    <row r="175" customFormat="false" ht="15" hidden="false" customHeight="false" outlineLevel="0" collapsed="false">
      <c r="A175" s="18"/>
      <c r="B175" s="5"/>
      <c r="C175" s="10"/>
      <c r="D175" s="10"/>
      <c r="E175" s="19"/>
      <c r="F175" s="10"/>
      <c r="G175" s="5"/>
      <c r="H175" s="5"/>
      <c r="I175" s="19"/>
      <c r="J175" s="10"/>
      <c r="K175" s="19"/>
      <c r="L175" s="10" t="str">
        <f aca="true">IF(A175="","",IF(K175&lt;&gt;"",K175-E175,TODAY()-E175))</f>
        <v/>
      </c>
      <c r="M175" s="10" t="str">
        <f aca="true">IF(A175="","",IF(AND(H175&lt;&gt;"Cerrado",I175&lt;TODAY()),"Sí","No"))</f>
        <v/>
      </c>
      <c r="N175" s="10"/>
    </row>
    <row r="176" customFormat="false" ht="15" hidden="false" customHeight="false" outlineLevel="0" collapsed="false">
      <c r="A176" s="18"/>
      <c r="B176" s="5"/>
      <c r="C176" s="10"/>
      <c r="D176" s="10"/>
      <c r="E176" s="19"/>
      <c r="F176" s="10"/>
      <c r="G176" s="5"/>
      <c r="H176" s="5"/>
      <c r="I176" s="19"/>
      <c r="J176" s="10"/>
      <c r="K176" s="19"/>
      <c r="L176" s="10" t="str">
        <f aca="true">IF(A176="","",IF(K176&lt;&gt;"",K176-E176,TODAY()-E176))</f>
        <v/>
      </c>
      <c r="M176" s="10" t="str">
        <f aca="true">IF(A176="","",IF(AND(H176&lt;&gt;"Cerrado",I176&lt;TODAY()),"Sí","No"))</f>
        <v/>
      </c>
      <c r="N176" s="10"/>
    </row>
    <row r="177" customFormat="false" ht="15" hidden="false" customHeight="false" outlineLevel="0" collapsed="false">
      <c r="A177" s="18"/>
      <c r="B177" s="5"/>
      <c r="C177" s="10"/>
      <c r="D177" s="10"/>
      <c r="E177" s="19"/>
      <c r="F177" s="10"/>
      <c r="G177" s="5"/>
      <c r="H177" s="5"/>
      <c r="I177" s="19"/>
      <c r="J177" s="10"/>
      <c r="K177" s="19"/>
      <c r="L177" s="10" t="str">
        <f aca="true">IF(A177="","",IF(K177&lt;&gt;"",K177-E177,TODAY()-E177))</f>
        <v/>
      </c>
      <c r="M177" s="10" t="str">
        <f aca="true">IF(A177="","",IF(AND(H177&lt;&gt;"Cerrado",I177&lt;TODAY()),"Sí","No"))</f>
        <v/>
      </c>
      <c r="N177" s="10"/>
    </row>
    <row r="178" customFormat="false" ht="15" hidden="false" customHeight="false" outlineLevel="0" collapsed="false">
      <c r="A178" s="18"/>
      <c r="B178" s="5"/>
      <c r="C178" s="10"/>
      <c r="D178" s="10"/>
      <c r="E178" s="19"/>
      <c r="F178" s="10"/>
      <c r="G178" s="5"/>
      <c r="H178" s="5"/>
      <c r="I178" s="19"/>
      <c r="J178" s="10"/>
      <c r="K178" s="19"/>
      <c r="L178" s="10" t="str">
        <f aca="true">IF(A178="","",IF(K178&lt;&gt;"",K178-E178,TODAY()-E178))</f>
        <v/>
      </c>
      <c r="M178" s="10" t="str">
        <f aca="true">IF(A178="","",IF(AND(H178&lt;&gt;"Cerrado",I178&lt;TODAY()),"Sí","No"))</f>
        <v/>
      </c>
      <c r="N178" s="10"/>
    </row>
    <row r="179" customFormat="false" ht="15" hidden="false" customHeight="false" outlineLevel="0" collapsed="false">
      <c r="A179" s="18"/>
      <c r="B179" s="5"/>
      <c r="C179" s="10"/>
      <c r="D179" s="10"/>
      <c r="E179" s="19"/>
      <c r="F179" s="10"/>
      <c r="G179" s="5"/>
      <c r="H179" s="5"/>
      <c r="I179" s="19"/>
      <c r="J179" s="10"/>
      <c r="K179" s="19"/>
      <c r="L179" s="10" t="str">
        <f aca="true">IF(A179="","",IF(K179&lt;&gt;"",K179-E179,TODAY()-E179))</f>
        <v/>
      </c>
      <c r="M179" s="10" t="str">
        <f aca="true">IF(A179="","",IF(AND(H179&lt;&gt;"Cerrado",I179&lt;TODAY()),"Sí","No"))</f>
        <v/>
      </c>
      <c r="N179" s="10"/>
    </row>
    <row r="180" customFormat="false" ht="15" hidden="false" customHeight="false" outlineLevel="0" collapsed="false">
      <c r="A180" s="18"/>
      <c r="B180" s="5"/>
      <c r="C180" s="10"/>
      <c r="D180" s="10"/>
      <c r="E180" s="19"/>
      <c r="F180" s="10"/>
      <c r="G180" s="5"/>
      <c r="H180" s="5"/>
      <c r="I180" s="19"/>
      <c r="J180" s="10"/>
      <c r="K180" s="19"/>
      <c r="L180" s="10" t="str">
        <f aca="true">IF(A180="","",IF(K180&lt;&gt;"",K180-E180,TODAY()-E180))</f>
        <v/>
      </c>
      <c r="M180" s="10" t="str">
        <f aca="true">IF(A180="","",IF(AND(H180&lt;&gt;"Cerrado",I180&lt;TODAY()),"Sí","No"))</f>
        <v/>
      </c>
      <c r="N180" s="10"/>
    </row>
    <row r="181" customFormat="false" ht="15" hidden="false" customHeight="false" outlineLevel="0" collapsed="false">
      <c r="A181" s="18"/>
      <c r="B181" s="5"/>
      <c r="C181" s="10"/>
      <c r="D181" s="10"/>
      <c r="E181" s="19"/>
      <c r="F181" s="10"/>
      <c r="G181" s="5"/>
      <c r="H181" s="5"/>
      <c r="I181" s="19"/>
      <c r="J181" s="10"/>
      <c r="K181" s="19"/>
      <c r="L181" s="10" t="str">
        <f aca="true">IF(A181="","",IF(K181&lt;&gt;"",K181-E181,TODAY()-E181))</f>
        <v/>
      </c>
      <c r="M181" s="10" t="str">
        <f aca="true">IF(A181="","",IF(AND(H181&lt;&gt;"Cerrado",I181&lt;TODAY()),"Sí","No"))</f>
        <v/>
      </c>
      <c r="N181" s="10"/>
    </row>
    <row r="182" customFormat="false" ht="15" hidden="false" customHeight="false" outlineLevel="0" collapsed="false">
      <c r="A182" s="18"/>
      <c r="B182" s="5"/>
      <c r="C182" s="10"/>
      <c r="D182" s="10"/>
      <c r="E182" s="19"/>
      <c r="F182" s="10"/>
      <c r="G182" s="5"/>
      <c r="H182" s="5"/>
      <c r="I182" s="19"/>
      <c r="J182" s="10"/>
      <c r="K182" s="19"/>
      <c r="L182" s="10" t="str">
        <f aca="true">IF(A182="","",IF(K182&lt;&gt;"",K182-E182,TODAY()-E182))</f>
        <v/>
      </c>
      <c r="M182" s="10" t="str">
        <f aca="true">IF(A182="","",IF(AND(H182&lt;&gt;"Cerrado",I182&lt;TODAY()),"Sí","No"))</f>
        <v/>
      </c>
      <c r="N182" s="10"/>
    </row>
    <row r="183" customFormat="false" ht="15" hidden="false" customHeight="false" outlineLevel="0" collapsed="false">
      <c r="A183" s="18"/>
      <c r="B183" s="5"/>
      <c r="C183" s="10"/>
      <c r="D183" s="10"/>
      <c r="E183" s="19"/>
      <c r="F183" s="10"/>
      <c r="G183" s="5"/>
      <c r="H183" s="5"/>
      <c r="I183" s="19"/>
      <c r="J183" s="10"/>
      <c r="K183" s="19"/>
      <c r="L183" s="10" t="str">
        <f aca="true">IF(A183="","",IF(K183&lt;&gt;"",K183-E183,TODAY()-E183))</f>
        <v/>
      </c>
      <c r="M183" s="10" t="str">
        <f aca="true">IF(A183="","",IF(AND(H183&lt;&gt;"Cerrado",I183&lt;TODAY()),"Sí","No"))</f>
        <v/>
      </c>
      <c r="N183" s="10"/>
    </row>
    <row r="184" customFormat="false" ht="15" hidden="false" customHeight="false" outlineLevel="0" collapsed="false">
      <c r="A184" s="18"/>
      <c r="B184" s="5"/>
      <c r="C184" s="10"/>
      <c r="D184" s="10"/>
      <c r="E184" s="19"/>
      <c r="F184" s="10"/>
      <c r="G184" s="5"/>
      <c r="H184" s="5"/>
      <c r="I184" s="19"/>
      <c r="J184" s="10"/>
      <c r="K184" s="19"/>
      <c r="L184" s="10" t="str">
        <f aca="true">IF(A184="","",IF(K184&lt;&gt;"",K184-E184,TODAY()-E184))</f>
        <v/>
      </c>
      <c r="M184" s="10" t="str">
        <f aca="true">IF(A184="","",IF(AND(H184&lt;&gt;"Cerrado",I184&lt;TODAY()),"Sí","No"))</f>
        <v/>
      </c>
      <c r="N184" s="10"/>
    </row>
    <row r="185" customFormat="false" ht="15" hidden="false" customHeight="false" outlineLevel="0" collapsed="false">
      <c r="A185" s="18"/>
      <c r="B185" s="5"/>
      <c r="C185" s="10"/>
      <c r="D185" s="10"/>
      <c r="E185" s="19"/>
      <c r="F185" s="10"/>
      <c r="G185" s="5"/>
      <c r="H185" s="5"/>
      <c r="I185" s="19"/>
      <c r="J185" s="10"/>
      <c r="K185" s="19"/>
      <c r="L185" s="10" t="str">
        <f aca="true">IF(A185="","",IF(K185&lt;&gt;"",K185-E185,TODAY()-E185))</f>
        <v/>
      </c>
      <c r="M185" s="10" t="str">
        <f aca="true">IF(A185="","",IF(AND(H185&lt;&gt;"Cerrado",I185&lt;TODAY()),"Sí","No"))</f>
        <v/>
      </c>
      <c r="N185" s="10"/>
    </row>
    <row r="186" customFormat="false" ht="15" hidden="false" customHeight="false" outlineLevel="0" collapsed="false">
      <c r="A186" s="18"/>
      <c r="B186" s="5"/>
      <c r="C186" s="10"/>
      <c r="D186" s="10"/>
      <c r="E186" s="19"/>
      <c r="F186" s="10"/>
      <c r="G186" s="5"/>
      <c r="H186" s="5"/>
      <c r="I186" s="19"/>
      <c r="J186" s="10"/>
      <c r="K186" s="19"/>
      <c r="L186" s="10" t="str">
        <f aca="true">IF(A186="","",IF(K186&lt;&gt;"",K186-E186,TODAY()-E186))</f>
        <v/>
      </c>
      <c r="M186" s="10" t="str">
        <f aca="true">IF(A186="","",IF(AND(H186&lt;&gt;"Cerrado",I186&lt;TODAY()),"Sí","No"))</f>
        <v/>
      </c>
      <c r="N186" s="10"/>
    </row>
    <row r="187" customFormat="false" ht="15" hidden="false" customHeight="false" outlineLevel="0" collapsed="false">
      <c r="A187" s="18"/>
      <c r="B187" s="5"/>
      <c r="C187" s="10"/>
      <c r="D187" s="10"/>
      <c r="E187" s="19"/>
      <c r="F187" s="10"/>
      <c r="G187" s="5"/>
      <c r="H187" s="5"/>
      <c r="I187" s="19"/>
      <c r="J187" s="10"/>
      <c r="K187" s="19"/>
      <c r="L187" s="10" t="str">
        <f aca="true">IF(A187="","",IF(K187&lt;&gt;"",K187-E187,TODAY()-E187))</f>
        <v/>
      </c>
      <c r="M187" s="10" t="str">
        <f aca="true">IF(A187="","",IF(AND(H187&lt;&gt;"Cerrado",I187&lt;TODAY()),"Sí","No"))</f>
        <v/>
      </c>
      <c r="N187" s="10"/>
    </row>
    <row r="188" customFormat="false" ht="15" hidden="false" customHeight="false" outlineLevel="0" collapsed="false">
      <c r="A188" s="18"/>
      <c r="B188" s="5"/>
      <c r="C188" s="10"/>
      <c r="D188" s="10"/>
      <c r="E188" s="19"/>
      <c r="F188" s="10"/>
      <c r="G188" s="5"/>
      <c r="H188" s="5"/>
      <c r="I188" s="19"/>
      <c r="J188" s="10"/>
      <c r="K188" s="19"/>
      <c r="L188" s="10" t="str">
        <f aca="true">IF(A188="","",IF(K188&lt;&gt;"",K188-E188,TODAY()-E188))</f>
        <v/>
      </c>
      <c r="M188" s="10" t="str">
        <f aca="true">IF(A188="","",IF(AND(H188&lt;&gt;"Cerrado",I188&lt;TODAY()),"Sí","No"))</f>
        <v/>
      </c>
      <c r="N188" s="10"/>
    </row>
    <row r="189" customFormat="false" ht="15" hidden="false" customHeight="false" outlineLevel="0" collapsed="false">
      <c r="A189" s="18"/>
      <c r="B189" s="5"/>
      <c r="C189" s="10"/>
      <c r="D189" s="10"/>
      <c r="E189" s="19"/>
      <c r="F189" s="10"/>
      <c r="G189" s="5"/>
      <c r="H189" s="5"/>
      <c r="I189" s="19"/>
      <c r="J189" s="10"/>
      <c r="K189" s="19"/>
      <c r="L189" s="10" t="str">
        <f aca="true">IF(A189="","",IF(K189&lt;&gt;"",K189-E189,TODAY()-E189))</f>
        <v/>
      </c>
      <c r="M189" s="10" t="str">
        <f aca="true">IF(A189="","",IF(AND(H189&lt;&gt;"Cerrado",I189&lt;TODAY()),"Sí","No"))</f>
        <v/>
      </c>
      <c r="N189" s="10"/>
    </row>
    <row r="190" customFormat="false" ht="15" hidden="false" customHeight="false" outlineLevel="0" collapsed="false">
      <c r="A190" s="18"/>
      <c r="B190" s="5"/>
      <c r="C190" s="10"/>
      <c r="D190" s="10"/>
      <c r="E190" s="19"/>
      <c r="F190" s="10"/>
      <c r="G190" s="5"/>
      <c r="H190" s="5"/>
      <c r="I190" s="19"/>
      <c r="J190" s="10"/>
      <c r="K190" s="19"/>
      <c r="L190" s="10" t="str">
        <f aca="true">IF(A190="","",IF(K190&lt;&gt;"",K190-E190,TODAY()-E190))</f>
        <v/>
      </c>
      <c r="M190" s="10" t="str">
        <f aca="true">IF(A190="","",IF(AND(H190&lt;&gt;"Cerrado",I190&lt;TODAY()),"Sí","No"))</f>
        <v/>
      </c>
      <c r="N190" s="10"/>
    </row>
    <row r="191" customFormat="false" ht="15" hidden="false" customHeight="false" outlineLevel="0" collapsed="false">
      <c r="A191" s="18"/>
      <c r="B191" s="5"/>
      <c r="C191" s="10"/>
      <c r="D191" s="10"/>
      <c r="E191" s="19"/>
      <c r="F191" s="10"/>
      <c r="G191" s="5"/>
      <c r="H191" s="5"/>
      <c r="I191" s="19"/>
      <c r="J191" s="10"/>
      <c r="K191" s="19"/>
      <c r="L191" s="10" t="str">
        <f aca="true">IF(A191="","",IF(K191&lt;&gt;"",K191-E191,TODAY()-E191))</f>
        <v/>
      </c>
      <c r="M191" s="10" t="str">
        <f aca="true">IF(A191="","",IF(AND(H191&lt;&gt;"Cerrado",I191&lt;TODAY()),"Sí","No"))</f>
        <v/>
      </c>
      <c r="N191" s="10"/>
    </row>
    <row r="192" customFormat="false" ht="15" hidden="false" customHeight="false" outlineLevel="0" collapsed="false">
      <c r="A192" s="18"/>
      <c r="B192" s="5"/>
      <c r="C192" s="10"/>
      <c r="D192" s="10"/>
      <c r="E192" s="19"/>
      <c r="F192" s="10"/>
      <c r="G192" s="5"/>
      <c r="H192" s="5"/>
      <c r="I192" s="19"/>
      <c r="J192" s="10"/>
      <c r="K192" s="19"/>
      <c r="L192" s="10" t="str">
        <f aca="true">IF(A192="","",IF(K192&lt;&gt;"",K192-E192,TODAY()-E192))</f>
        <v/>
      </c>
      <c r="M192" s="10" t="str">
        <f aca="true">IF(A192="","",IF(AND(H192&lt;&gt;"Cerrado",I192&lt;TODAY()),"Sí","No"))</f>
        <v/>
      </c>
      <c r="N192" s="10"/>
    </row>
    <row r="193" customFormat="false" ht="15" hidden="false" customHeight="false" outlineLevel="0" collapsed="false">
      <c r="A193" s="18"/>
      <c r="B193" s="5"/>
      <c r="C193" s="10"/>
      <c r="D193" s="10"/>
      <c r="E193" s="19"/>
      <c r="F193" s="10"/>
      <c r="G193" s="5"/>
      <c r="H193" s="5"/>
      <c r="I193" s="19"/>
      <c r="J193" s="10"/>
      <c r="K193" s="19"/>
      <c r="L193" s="10" t="str">
        <f aca="true">IF(A193="","",IF(K193&lt;&gt;"",K193-E193,TODAY()-E193))</f>
        <v/>
      </c>
      <c r="M193" s="10" t="str">
        <f aca="true">IF(A193="","",IF(AND(H193&lt;&gt;"Cerrado",I193&lt;TODAY()),"Sí","No"))</f>
        <v/>
      </c>
      <c r="N193" s="10"/>
    </row>
    <row r="194" customFormat="false" ht="15" hidden="false" customHeight="false" outlineLevel="0" collapsed="false">
      <c r="A194" s="18"/>
      <c r="B194" s="5"/>
      <c r="C194" s="10"/>
      <c r="D194" s="10"/>
      <c r="E194" s="19"/>
      <c r="F194" s="10"/>
      <c r="G194" s="5"/>
      <c r="H194" s="5"/>
      <c r="I194" s="19"/>
      <c r="J194" s="10"/>
      <c r="K194" s="19"/>
      <c r="L194" s="10" t="str">
        <f aca="true">IF(A194="","",IF(K194&lt;&gt;"",K194-E194,TODAY()-E194))</f>
        <v/>
      </c>
      <c r="M194" s="10" t="str">
        <f aca="true">IF(A194="","",IF(AND(H194&lt;&gt;"Cerrado",I194&lt;TODAY()),"Sí","No"))</f>
        <v/>
      </c>
      <c r="N194" s="10"/>
    </row>
    <row r="195" customFormat="false" ht="15" hidden="false" customHeight="false" outlineLevel="0" collapsed="false">
      <c r="A195" s="18"/>
      <c r="B195" s="5"/>
      <c r="C195" s="10"/>
      <c r="D195" s="10"/>
      <c r="E195" s="19"/>
      <c r="F195" s="10"/>
      <c r="G195" s="5"/>
      <c r="H195" s="5"/>
      <c r="I195" s="19"/>
      <c r="J195" s="10"/>
      <c r="K195" s="19"/>
      <c r="L195" s="10" t="str">
        <f aca="true">IF(A195="","",IF(K195&lt;&gt;"",K195-E195,TODAY()-E195))</f>
        <v/>
      </c>
      <c r="M195" s="10" t="str">
        <f aca="true">IF(A195="","",IF(AND(H195&lt;&gt;"Cerrado",I195&lt;TODAY()),"Sí","No"))</f>
        <v/>
      </c>
      <c r="N195" s="10"/>
    </row>
    <row r="196" customFormat="false" ht="15" hidden="false" customHeight="false" outlineLevel="0" collapsed="false">
      <c r="A196" s="18"/>
      <c r="B196" s="5"/>
      <c r="C196" s="10"/>
      <c r="D196" s="10"/>
      <c r="E196" s="19"/>
      <c r="F196" s="10"/>
      <c r="G196" s="5"/>
      <c r="H196" s="5"/>
      <c r="I196" s="19"/>
      <c r="J196" s="10"/>
      <c r="K196" s="19"/>
      <c r="L196" s="10" t="str">
        <f aca="true">IF(A196="","",IF(K196&lt;&gt;"",K196-E196,TODAY()-E196))</f>
        <v/>
      </c>
      <c r="M196" s="10" t="str">
        <f aca="true">IF(A196="","",IF(AND(H196&lt;&gt;"Cerrado",I196&lt;TODAY()),"Sí","No"))</f>
        <v/>
      </c>
      <c r="N196" s="10"/>
    </row>
    <row r="197" customFormat="false" ht="15" hidden="false" customHeight="false" outlineLevel="0" collapsed="false">
      <c r="A197" s="18"/>
      <c r="B197" s="5"/>
      <c r="C197" s="10"/>
      <c r="D197" s="10"/>
      <c r="E197" s="19"/>
      <c r="F197" s="10"/>
      <c r="G197" s="5"/>
      <c r="H197" s="5"/>
      <c r="I197" s="19"/>
      <c r="J197" s="10"/>
      <c r="K197" s="19"/>
      <c r="L197" s="10" t="str">
        <f aca="true">IF(A197="","",IF(K197&lt;&gt;"",K197-E197,TODAY()-E197))</f>
        <v/>
      </c>
      <c r="M197" s="10" t="str">
        <f aca="true">IF(A197="","",IF(AND(H197&lt;&gt;"Cerrado",I197&lt;TODAY()),"Sí","No"))</f>
        <v/>
      </c>
      <c r="N197" s="10"/>
    </row>
    <row r="198" customFormat="false" ht="15" hidden="false" customHeight="false" outlineLevel="0" collapsed="false">
      <c r="A198" s="18"/>
      <c r="B198" s="5"/>
      <c r="C198" s="10"/>
      <c r="D198" s="10"/>
      <c r="E198" s="19"/>
      <c r="F198" s="10"/>
      <c r="G198" s="5"/>
      <c r="H198" s="5"/>
      <c r="I198" s="19"/>
      <c r="J198" s="10"/>
      <c r="K198" s="19"/>
      <c r="L198" s="10" t="str">
        <f aca="true">IF(A198="","",IF(K198&lt;&gt;"",K198-E198,TODAY()-E198))</f>
        <v/>
      </c>
      <c r="M198" s="10" t="str">
        <f aca="true">IF(A198="","",IF(AND(H198&lt;&gt;"Cerrado",I198&lt;TODAY()),"Sí","No"))</f>
        <v/>
      </c>
      <c r="N198" s="10"/>
    </row>
    <row r="199" customFormat="false" ht="15" hidden="false" customHeight="false" outlineLevel="0" collapsed="false">
      <c r="A199" s="18"/>
      <c r="B199" s="5"/>
      <c r="C199" s="10"/>
      <c r="D199" s="10"/>
      <c r="E199" s="19"/>
      <c r="F199" s="10"/>
      <c r="G199" s="5"/>
      <c r="H199" s="5"/>
      <c r="I199" s="19"/>
      <c r="J199" s="10"/>
      <c r="K199" s="19"/>
      <c r="L199" s="10" t="str">
        <f aca="true">IF(A199="","",IF(K199&lt;&gt;"",K199-E199,TODAY()-E199))</f>
        <v/>
      </c>
      <c r="M199" s="10" t="str">
        <f aca="true">IF(A199="","",IF(AND(H199&lt;&gt;"Cerrado",I199&lt;TODAY()),"Sí","No"))</f>
        <v/>
      </c>
      <c r="N199" s="10"/>
    </row>
    <row r="200" customFormat="false" ht="15" hidden="false" customHeight="false" outlineLevel="0" collapsed="false">
      <c r="A200" s="18"/>
      <c r="B200" s="5"/>
      <c r="C200" s="10"/>
      <c r="D200" s="10"/>
      <c r="E200" s="19"/>
      <c r="F200" s="10"/>
      <c r="G200" s="5"/>
      <c r="H200" s="5"/>
      <c r="I200" s="19"/>
      <c r="J200" s="10"/>
      <c r="K200" s="19"/>
      <c r="L200" s="10" t="str">
        <f aca="true">IF(A200="","",IF(K200&lt;&gt;"",K200-E200,TODAY()-E200))</f>
        <v/>
      </c>
      <c r="M200" s="10" t="str">
        <f aca="true">IF(A200="","",IF(AND(H200&lt;&gt;"Cerrado",I200&lt;TODAY()),"Sí","No"))</f>
        <v/>
      </c>
      <c r="N200" s="10"/>
    </row>
    <row r="201" customFormat="false" ht="15" hidden="false" customHeight="false" outlineLevel="0" collapsed="false">
      <c r="A201" s="18"/>
      <c r="B201" s="5"/>
      <c r="C201" s="10"/>
      <c r="D201" s="10"/>
      <c r="E201" s="19"/>
      <c r="F201" s="10"/>
      <c r="G201" s="5"/>
      <c r="H201" s="5"/>
      <c r="I201" s="19"/>
      <c r="J201" s="10"/>
      <c r="K201" s="19"/>
      <c r="L201" s="10" t="str">
        <f aca="true">IF(A201="","",IF(K201&lt;&gt;"",K201-E201,TODAY()-E201))</f>
        <v/>
      </c>
      <c r="M201" s="10" t="str">
        <f aca="true">IF(A201="","",IF(AND(H201&lt;&gt;"Cerrado",I201&lt;TODAY()),"Sí","No"))</f>
        <v/>
      </c>
      <c r="N201" s="10"/>
    </row>
    <row r="202" customFormat="false" ht="15" hidden="false" customHeight="false" outlineLevel="0" collapsed="false">
      <c r="A202" s="18"/>
      <c r="B202" s="5"/>
      <c r="C202" s="10"/>
      <c r="D202" s="10"/>
      <c r="E202" s="19"/>
      <c r="F202" s="10"/>
      <c r="G202" s="5"/>
      <c r="H202" s="5"/>
      <c r="I202" s="19"/>
      <c r="J202" s="10"/>
      <c r="K202" s="19"/>
      <c r="L202" s="10" t="str">
        <f aca="true">IF(A202="","",IF(K202&lt;&gt;"",K202-E202,TODAY()-E202))</f>
        <v/>
      </c>
      <c r="M202" s="10" t="str">
        <f aca="true">IF(A202="","",IF(AND(H202&lt;&gt;"Cerrado",I202&lt;TODAY()),"Sí","No"))</f>
        <v/>
      </c>
      <c r="N202" s="10"/>
    </row>
    <row r="203" customFormat="false" ht="15" hidden="false" customHeight="false" outlineLevel="0" collapsed="false">
      <c r="A203" s="18"/>
      <c r="B203" s="5"/>
      <c r="C203" s="10"/>
      <c r="D203" s="10"/>
      <c r="E203" s="19"/>
      <c r="F203" s="10"/>
      <c r="G203" s="5"/>
      <c r="H203" s="5"/>
      <c r="I203" s="19"/>
      <c r="J203" s="10"/>
      <c r="K203" s="19"/>
      <c r="L203" s="10" t="str">
        <f aca="true">IF(A203="","",IF(K203&lt;&gt;"",K203-E203,TODAY()-E203))</f>
        <v/>
      </c>
      <c r="M203" s="10" t="str">
        <f aca="true">IF(A203="","",IF(AND(H203&lt;&gt;"Cerrado",I203&lt;TODAY()),"Sí","No"))</f>
        <v/>
      </c>
      <c r="N203" s="10"/>
    </row>
    <row r="204" customFormat="false" ht="15" hidden="false" customHeight="false" outlineLevel="0" collapsed="false">
      <c r="A204" s="18"/>
      <c r="B204" s="5"/>
      <c r="C204" s="10"/>
      <c r="D204" s="10"/>
      <c r="E204" s="19"/>
      <c r="F204" s="10"/>
      <c r="G204" s="5"/>
      <c r="H204" s="5"/>
      <c r="I204" s="19"/>
      <c r="J204" s="10"/>
      <c r="K204" s="19"/>
      <c r="L204" s="10" t="str">
        <f aca="true">IF(A204="","",IF(K204&lt;&gt;"",K204-E204,TODAY()-E204))</f>
        <v/>
      </c>
      <c r="M204" s="10" t="str">
        <f aca="true">IF(A204="","",IF(AND(H204&lt;&gt;"Cerrado",I204&lt;TODAY()),"Sí","No"))</f>
        <v/>
      </c>
      <c r="N204" s="10"/>
    </row>
  </sheetData>
  <mergeCells count="2">
    <mergeCell ref="A1:N1"/>
    <mergeCell ref="A2:N2"/>
  </mergeCells>
  <conditionalFormatting sqref="M5:M204">
    <cfRule type="expression" priority="2" aboveAverage="0" equalAverage="0" bottom="0" percent="0" rank="0" text="" dxfId="18">
      <formula>M5="Sí"</formula>
    </cfRule>
  </conditionalFormatting>
  <conditionalFormatting sqref="H5:H204">
    <cfRule type="expression" priority="3" aboveAverage="0" equalAverage="0" bottom="0" percent="0" rank="0" text="" dxfId="7">
      <formula>H5="Cerrado"</formula>
    </cfRule>
  </conditionalFormatting>
  <dataValidations count="3">
    <dataValidation allowBlank="false" errorStyle="stop" operator="between" showDropDown="false" showErrorMessage="false" showInputMessage="false" sqref="B5:B204" type="list">
      <formula1>"TBD,Información faltante,Duplicado,Conflicto,Inconsistencia,Otro"</formula1>
      <formula2>0</formula2>
    </dataValidation>
    <dataValidation allowBlank="false" errorStyle="stop" operator="between" showDropDown="false" showErrorMessage="false" showInputMessage="false" sqref="G5:G204" type="list">
      <formula1>"Baja,Media,Alta,Crítica"</formula1>
      <formula2>0</formula2>
    </dataValidation>
    <dataValidation allowBlank="false" errorStyle="stop" operator="between" showDropDown="false" showErrorMessage="false" showInputMessage="false" sqref="H5:H204" type="list">
      <formula1>"Abierto,En análisis,En resolución,Bloqueado,Cerrado"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24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24"/>
    <col collapsed="false" customWidth="true" hidden="false" outlineLevel="0" max="12" min="12" style="1" width="26"/>
    <col collapsed="false" customWidth="true" hidden="false" outlineLevel="0" max="13" min="13" style="1" width="18"/>
  </cols>
  <sheetData>
    <row r="1" customFormat="false" ht="30" hidden="false" customHeight="true" outlineLevel="0" collapsed="false">
      <c r="A1" s="2" t="s">
        <v>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3.75" hidden="false" customHeight="true" outlineLevel="0" collapsed="false">
      <c r="A2" s="3" t="s">
        <v>520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42" hidden="false" customHeight="true" outlineLevel="0" collapsed="false">
      <c r="A4" s="14" t="s">
        <v>521</v>
      </c>
      <c r="B4" s="9" t="s">
        <v>522</v>
      </c>
      <c r="C4" s="9" t="s">
        <v>304</v>
      </c>
      <c r="D4" s="9" t="s">
        <v>523</v>
      </c>
      <c r="E4" s="9" t="s">
        <v>524</v>
      </c>
      <c r="F4" s="9" t="s">
        <v>525</v>
      </c>
      <c r="G4" s="9" t="s">
        <v>526</v>
      </c>
      <c r="H4" s="9" t="s">
        <v>527</v>
      </c>
      <c r="I4" s="9" t="s">
        <v>179</v>
      </c>
      <c r="J4" s="9" t="s">
        <v>360</v>
      </c>
      <c r="K4" s="9" t="s">
        <v>528</v>
      </c>
      <c r="L4" s="9" t="s">
        <v>529</v>
      </c>
      <c r="M4" s="9" t="s">
        <v>530</v>
      </c>
    </row>
    <row r="5" customFormat="false" ht="55.2" hidden="false" customHeight="false" outlineLevel="0" collapsed="false">
      <c r="A5" s="15" t="s">
        <v>531</v>
      </c>
      <c r="B5" s="16" t="s">
        <v>532</v>
      </c>
      <c r="C5" s="16" t="s">
        <v>183</v>
      </c>
      <c r="D5" s="16" t="s">
        <v>533</v>
      </c>
      <c r="E5" s="16" t="s">
        <v>534</v>
      </c>
      <c r="F5" s="16" t="s">
        <v>534</v>
      </c>
      <c r="G5" s="16" t="s">
        <v>534</v>
      </c>
      <c r="H5" s="16" t="s">
        <v>384</v>
      </c>
      <c r="I5" s="16" t="s">
        <v>198</v>
      </c>
      <c r="J5" s="16"/>
      <c r="K5" s="16" t="str">
        <f aca="false">IF(C5="","",IF(AND(A5&lt;&gt;"",B5&lt;&gt;""),"Completa","Incompleta"))</f>
        <v>Completa</v>
      </c>
      <c r="L5" s="16" t="str">
        <f aca="false">IF(C5="","",IF(AND(D5&lt;&gt;"",E5&lt;&gt;"",F5&lt;&gt;"",G5&lt;&gt;"",H5&lt;&gt;""),"Completa","Incompleta"))</f>
        <v>Completa</v>
      </c>
      <c r="M5" s="16" t="str">
        <f aca="false">IF(C5="","",IF(AND(K5="Completa",L5="Completa"),"Completa","Parcial"))</f>
        <v>Completa</v>
      </c>
    </row>
    <row r="6" customFormat="false" ht="55.2" hidden="false" customHeight="false" outlineLevel="0" collapsed="false">
      <c r="A6" s="18" t="s">
        <v>535</v>
      </c>
      <c r="B6" s="10" t="s">
        <v>536</v>
      </c>
      <c r="C6" s="10" t="s">
        <v>200</v>
      </c>
      <c r="D6" s="10" t="s">
        <v>537</v>
      </c>
      <c r="E6" s="10" t="s">
        <v>534</v>
      </c>
      <c r="F6" s="10" t="s">
        <v>534</v>
      </c>
      <c r="G6" s="10" t="s">
        <v>534</v>
      </c>
      <c r="H6" s="5" t="s">
        <v>384</v>
      </c>
      <c r="I6" s="10" t="s">
        <v>198</v>
      </c>
      <c r="J6" s="10"/>
      <c r="K6" s="10" t="str">
        <f aca="false">IF(C6="","",IF(AND(A6&lt;&gt;"",B6&lt;&gt;""),"Completa","Incompleta"))</f>
        <v>Completa</v>
      </c>
      <c r="L6" s="10" t="str">
        <f aca="false">IF(C6="","",IF(AND(D6&lt;&gt;"",E6&lt;&gt;"",F6&lt;&gt;"",G6&lt;&gt;"",H6&lt;&gt;""),"Completa","Incompleta"))</f>
        <v>Completa</v>
      </c>
      <c r="M6" s="10" t="str">
        <f aca="false">IF(C6="","",IF(AND(K6="Completa",L6="Completa"),"Completa","Parcial"))</f>
        <v>Completa</v>
      </c>
    </row>
    <row r="7" customFormat="false" ht="41.75" hidden="false" customHeight="false" outlineLevel="0" collapsed="false">
      <c r="A7" s="18" t="s">
        <v>538</v>
      </c>
      <c r="B7" s="10" t="s">
        <v>539</v>
      </c>
      <c r="C7" s="10" t="s">
        <v>209</v>
      </c>
      <c r="D7" s="10" t="s">
        <v>540</v>
      </c>
      <c r="E7" s="10" t="s">
        <v>534</v>
      </c>
      <c r="F7" s="10" t="s">
        <v>534</v>
      </c>
      <c r="G7" s="10" t="s">
        <v>534</v>
      </c>
      <c r="H7" s="5" t="s">
        <v>384</v>
      </c>
      <c r="I7" s="10" t="s">
        <v>198</v>
      </c>
      <c r="J7" s="10"/>
      <c r="K7" s="10" t="str">
        <f aca="false">IF(C7="","",IF(AND(A7&lt;&gt;"",B7&lt;&gt;""),"Completa","Incompleta"))</f>
        <v>Completa</v>
      </c>
      <c r="L7" s="10" t="str">
        <f aca="false">IF(C7="","",IF(AND(D7&lt;&gt;"",E7&lt;&gt;"",F7&lt;&gt;"",G7&lt;&gt;"",H7&lt;&gt;""),"Completa","Incompleta"))</f>
        <v>Completa</v>
      </c>
      <c r="M7" s="10" t="str">
        <f aca="false">IF(C7="","",IF(AND(K7="Completa",L7="Completa"),"Completa","Parcial"))</f>
        <v>Completa</v>
      </c>
    </row>
    <row r="8" customFormat="false" ht="41.75" hidden="false" customHeight="false" outlineLevel="0" collapsed="false">
      <c r="A8" s="18" t="s">
        <v>541</v>
      </c>
      <c r="B8" s="10" t="s">
        <v>542</v>
      </c>
      <c r="C8" s="10" t="s">
        <v>221</v>
      </c>
      <c r="D8" s="10" t="s">
        <v>543</v>
      </c>
      <c r="E8" s="10" t="s">
        <v>534</v>
      </c>
      <c r="F8" s="10" t="s">
        <v>534</v>
      </c>
      <c r="G8" s="10" t="s">
        <v>534</v>
      </c>
      <c r="H8" s="5" t="s">
        <v>384</v>
      </c>
      <c r="I8" s="10" t="s">
        <v>198</v>
      </c>
      <c r="J8" s="10"/>
      <c r="K8" s="10" t="str">
        <f aca="false">IF(C8="","",IF(AND(A8&lt;&gt;"",B8&lt;&gt;""),"Completa","Incompleta"))</f>
        <v>Completa</v>
      </c>
      <c r="L8" s="10" t="str">
        <f aca="false">IF(C8="","",IF(AND(D8&lt;&gt;"",E8&lt;&gt;"",F8&lt;&gt;"",G8&lt;&gt;"",H8&lt;&gt;""),"Completa","Incompleta"))</f>
        <v>Completa</v>
      </c>
      <c r="M8" s="10" t="str">
        <f aca="false">IF(C8="","",IF(AND(K8="Completa",L8="Completa"),"Completa","Parcial"))</f>
        <v>Completa</v>
      </c>
    </row>
    <row r="9" customFormat="false" ht="41.75" hidden="false" customHeight="false" outlineLevel="0" collapsed="false">
      <c r="A9" s="18" t="s">
        <v>538</v>
      </c>
      <c r="B9" s="10" t="s">
        <v>544</v>
      </c>
      <c r="C9" s="10" t="s">
        <v>229</v>
      </c>
      <c r="D9" s="10" t="s">
        <v>545</v>
      </c>
      <c r="E9" s="10" t="s">
        <v>534</v>
      </c>
      <c r="F9" s="10" t="s">
        <v>534</v>
      </c>
      <c r="G9" s="10" t="s">
        <v>534</v>
      </c>
      <c r="H9" s="5" t="s">
        <v>384</v>
      </c>
      <c r="I9" s="10" t="s">
        <v>198</v>
      </c>
      <c r="J9" s="10"/>
      <c r="K9" s="10" t="str">
        <f aca="false">IF(C9="","",IF(AND(A9&lt;&gt;"",B9&lt;&gt;""),"Completa","Incompleta"))</f>
        <v>Completa</v>
      </c>
      <c r="L9" s="10" t="str">
        <f aca="false">IF(C9="","",IF(AND(D9&lt;&gt;"",E9&lt;&gt;"",F9&lt;&gt;"",G9&lt;&gt;"",H9&lt;&gt;""),"Completa","Incompleta"))</f>
        <v>Completa</v>
      </c>
      <c r="M9" s="10" t="str">
        <f aca="false">IF(C9="","",IF(AND(K9="Completa",L9="Completa"),"Completa","Parcial"))</f>
        <v>Completa</v>
      </c>
    </row>
    <row r="10" customFormat="false" ht="41.75" hidden="false" customHeight="false" outlineLevel="0" collapsed="false">
      <c r="A10" s="18" t="s">
        <v>546</v>
      </c>
      <c r="B10" s="10" t="s">
        <v>547</v>
      </c>
      <c r="C10" s="10" t="s">
        <v>237</v>
      </c>
      <c r="D10" s="10" t="s">
        <v>548</v>
      </c>
      <c r="E10" s="10" t="s">
        <v>534</v>
      </c>
      <c r="F10" s="10" t="s">
        <v>534</v>
      </c>
      <c r="G10" s="10" t="s">
        <v>534</v>
      </c>
      <c r="H10" s="5" t="s">
        <v>384</v>
      </c>
      <c r="I10" s="10" t="s">
        <v>198</v>
      </c>
      <c r="J10" s="10"/>
      <c r="K10" s="10" t="str">
        <f aca="false">IF(C10="","",IF(AND(A10&lt;&gt;"",B10&lt;&gt;""),"Completa","Incompleta"))</f>
        <v>Completa</v>
      </c>
      <c r="L10" s="10" t="str">
        <f aca="false">IF(C10="","",IF(AND(D10&lt;&gt;"",E10&lt;&gt;"",F10&lt;&gt;"",G10&lt;&gt;"",H10&lt;&gt;""),"Completa","Incompleta"))</f>
        <v>Completa</v>
      </c>
      <c r="M10" s="10" t="str">
        <f aca="false">IF(C10="","",IF(AND(K10="Completa",L10="Completa"),"Completa","Parcial"))</f>
        <v>Completa</v>
      </c>
    </row>
    <row r="11" customFormat="false" ht="41.75" hidden="false" customHeight="false" outlineLevel="0" collapsed="false">
      <c r="A11" s="18" t="s">
        <v>535</v>
      </c>
      <c r="B11" s="10" t="s">
        <v>549</v>
      </c>
      <c r="C11" s="10" t="s">
        <v>247</v>
      </c>
      <c r="D11" s="10" t="s">
        <v>550</v>
      </c>
      <c r="E11" s="10" t="s">
        <v>534</v>
      </c>
      <c r="F11" s="10" t="s">
        <v>534</v>
      </c>
      <c r="G11" s="10" t="s">
        <v>534</v>
      </c>
      <c r="H11" s="5" t="s">
        <v>384</v>
      </c>
      <c r="I11" s="10" t="s">
        <v>198</v>
      </c>
      <c r="J11" s="10"/>
      <c r="K11" s="10" t="str">
        <f aca="false">IF(C11="","",IF(AND(A11&lt;&gt;"",B11&lt;&gt;""),"Completa","Incompleta"))</f>
        <v>Completa</v>
      </c>
      <c r="L11" s="10" t="str">
        <f aca="false">IF(C11="","",IF(AND(D11&lt;&gt;"",E11&lt;&gt;"",F11&lt;&gt;"",G11&lt;&gt;"",H11&lt;&gt;""),"Completa","Incompleta"))</f>
        <v>Completa</v>
      </c>
      <c r="M11" s="10" t="str">
        <f aca="false">IF(C11="","",IF(AND(K11="Completa",L11="Completa"),"Completa","Parcial"))</f>
        <v>Completa</v>
      </c>
    </row>
    <row r="12" customFormat="false" ht="41.75" hidden="false" customHeight="false" outlineLevel="0" collapsed="false">
      <c r="A12" s="18" t="s">
        <v>551</v>
      </c>
      <c r="B12" s="10" t="s">
        <v>552</v>
      </c>
      <c r="C12" s="10" t="s">
        <v>256</v>
      </c>
      <c r="D12" s="10" t="s">
        <v>553</v>
      </c>
      <c r="E12" s="10" t="s">
        <v>534</v>
      </c>
      <c r="F12" s="10" t="s">
        <v>534</v>
      </c>
      <c r="G12" s="10" t="s">
        <v>534</v>
      </c>
      <c r="H12" s="5" t="s">
        <v>384</v>
      </c>
      <c r="I12" s="10" t="s">
        <v>198</v>
      </c>
      <c r="J12" s="10"/>
      <c r="K12" s="10" t="str">
        <f aca="false">IF(C12="","",IF(AND(A12&lt;&gt;"",B12&lt;&gt;""),"Completa","Incompleta"))</f>
        <v>Completa</v>
      </c>
      <c r="L12" s="10" t="str">
        <f aca="false">IF(C12="","",IF(AND(D12&lt;&gt;"",E12&lt;&gt;"",F12&lt;&gt;"",G12&lt;&gt;"",H12&lt;&gt;""),"Completa","Incompleta"))</f>
        <v>Completa</v>
      </c>
      <c r="M12" s="10" t="str">
        <f aca="false">IF(C12="","",IF(AND(K12="Completa",L12="Completa"),"Completa","Parcial"))</f>
        <v>Completa</v>
      </c>
    </row>
    <row r="13" customFormat="false" ht="41.75" hidden="false" customHeight="false" outlineLevel="0" collapsed="false">
      <c r="A13" s="18" t="s">
        <v>554</v>
      </c>
      <c r="B13" s="10" t="s">
        <v>555</v>
      </c>
      <c r="C13" s="10" t="s">
        <v>265</v>
      </c>
      <c r="D13" s="10" t="s">
        <v>556</v>
      </c>
      <c r="E13" s="10" t="s">
        <v>534</v>
      </c>
      <c r="F13" s="10" t="s">
        <v>534</v>
      </c>
      <c r="G13" s="10" t="s">
        <v>534</v>
      </c>
      <c r="H13" s="5" t="s">
        <v>384</v>
      </c>
      <c r="I13" s="10" t="s">
        <v>198</v>
      </c>
      <c r="J13" s="10"/>
      <c r="K13" s="10" t="str">
        <f aca="false">IF(C13="","",IF(AND(A13&lt;&gt;"",B13&lt;&gt;""),"Completa","Incompleta"))</f>
        <v>Completa</v>
      </c>
      <c r="L13" s="10" t="str">
        <f aca="false">IF(C13="","",IF(AND(D13&lt;&gt;"",E13&lt;&gt;"",F13&lt;&gt;"",G13&lt;&gt;"",H13&lt;&gt;""),"Completa","Incompleta"))</f>
        <v>Completa</v>
      </c>
      <c r="M13" s="10" t="str">
        <f aca="false">IF(C13="","",IF(AND(K13="Completa",L13="Completa"),"Completa","Parcial"))</f>
        <v>Completa</v>
      </c>
    </row>
    <row r="14" customFormat="false" ht="41.75" hidden="false" customHeight="false" outlineLevel="0" collapsed="false">
      <c r="A14" s="18" t="s">
        <v>557</v>
      </c>
      <c r="B14" s="10" t="s">
        <v>558</v>
      </c>
      <c r="C14" s="10" t="s">
        <v>273</v>
      </c>
      <c r="D14" s="10" t="s">
        <v>559</v>
      </c>
      <c r="E14" s="10" t="s">
        <v>534</v>
      </c>
      <c r="F14" s="10" t="s">
        <v>534</v>
      </c>
      <c r="G14" s="10" t="s">
        <v>534</v>
      </c>
      <c r="H14" s="5" t="s">
        <v>384</v>
      </c>
      <c r="I14" s="10" t="s">
        <v>198</v>
      </c>
      <c r="J14" s="10"/>
      <c r="K14" s="10" t="str">
        <f aca="false">IF(C14="","",IF(AND(A14&lt;&gt;"",B14&lt;&gt;""),"Completa","Incompleta"))</f>
        <v>Completa</v>
      </c>
      <c r="L14" s="10" t="str">
        <f aca="false">IF(C14="","",IF(AND(D14&lt;&gt;"",E14&lt;&gt;"",F14&lt;&gt;"",G14&lt;&gt;"",H14&lt;&gt;""),"Completa","Incompleta"))</f>
        <v>Completa</v>
      </c>
      <c r="M14" s="10" t="str">
        <f aca="false">IF(C14="","",IF(AND(K14="Completa",L14="Completa"),"Completa","Parcial"))</f>
        <v>Completa</v>
      </c>
    </row>
    <row r="15" customFormat="false" ht="41.75" hidden="false" customHeight="false" outlineLevel="0" collapsed="false">
      <c r="A15" s="18" t="s">
        <v>560</v>
      </c>
      <c r="B15" s="10" t="s">
        <v>547</v>
      </c>
      <c r="C15" s="10" t="s">
        <v>282</v>
      </c>
      <c r="D15" s="10" t="s">
        <v>561</v>
      </c>
      <c r="E15" s="10" t="s">
        <v>534</v>
      </c>
      <c r="F15" s="10" t="s">
        <v>534</v>
      </c>
      <c r="G15" s="10" t="s">
        <v>534</v>
      </c>
      <c r="H15" s="5" t="s">
        <v>384</v>
      </c>
      <c r="I15" s="10" t="s">
        <v>198</v>
      </c>
      <c r="J15" s="10"/>
      <c r="K15" s="10" t="str">
        <f aca="false">IF(C15="","",IF(AND(A15&lt;&gt;"",B15&lt;&gt;""),"Completa","Incompleta"))</f>
        <v>Completa</v>
      </c>
      <c r="L15" s="10" t="str">
        <f aca="false">IF(C15="","",IF(AND(D15&lt;&gt;"",E15&lt;&gt;"",F15&lt;&gt;"",G15&lt;&gt;"",H15&lt;&gt;""),"Completa","Incompleta"))</f>
        <v>Completa</v>
      </c>
      <c r="M15" s="10" t="str">
        <f aca="false">IF(C15="","",IF(AND(K15="Completa",L15="Completa"),"Completa","Parcial"))</f>
        <v>Completa</v>
      </c>
    </row>
    <row r="16" customFormat="false" ht="41.75" hidden="false" customHeight="false" outlineLevel="0" collapsed="false">
      <c r="A16" s="18" t="s">
        <v>554</v>
      </c>
      <c r="B16" s="10" t="s">
        <v>562</v>
      </c>
      <c r="C16" s="10" t="s">
        <v>294</v>
      </c>
      <c r="D16" s="10" t="s">
        <v>563</v>
      </c>
      <c r="E16" s="10" t="s">
        <v>534</v>
      </c>
      <c r="F16" s="10" t="s">
        <v>534</v>
      </c>
      <c r="G16" s="10" t="s">
        <v>534</v>
      </c>
      <c r="H16" s="5" t="s">
        <v>384</v>
      </c>
      <c r="I16" s="10" t="s">
        <v>198</v>
      </c>
      <c r="J16" s="10"/>
      <c r="K16" s="10" t="str">
        <f aca="false">IF(C16="","",IF(AND(A16&lt;&gt;"",B16&lt;&gt;""),"Completa","Incompleta"))</f>
        <v>Completa</v>
      </c>
      <c r="L16" s="10" t="str">
        <f aca="false">IF(C16="","",IF(AND(D16&lt;&gt;"",E16&lt;&gt;"",F16&lt;&gt;"",G16&lt;&gt;"",H16&lt;&gt;""),"Completa","Incompleta"))</f>
        <v>Completa</v>
      </c>
      <c r="M16" s="10" t="str">
        <f aca="false">IF(C16="","",IF(AND(K16="Completa",L16="Completa"),"Completa","Parcial"))</f>
        <v>Completa</v>
      </c>
    </row>
    <row r="17" customFormat="false" ht="15" hidden="false" customHeight="false" outlineLevel="0" collapsed="false">
      <c r="A17" s="18"/>
      <c r="B17" s="10"/>
      <c r="C17" s="10"/>
      <c r="D17" s="10"/>
      <c r="E17" s="10"/>
      <c r="F17" s="10"/>
      <c r="G17" s="10"/>
      <c r="H17" s="5"/>
      <c r="I17" s="10"/>
      <c r="J17" s="10"/>
      <c r="K17" s="10" t="str">
        <f aca="false">IF(C17="","",IF(AND(A17&lt;&gt;"",B17&lt;&gt;""),"Completa","Incompleta"))</f>
        <v/>
      </c>
      <c r="L17" s="10" t="str">
        <f aca="false">IF(C17="","",IF(AND(D17&lt;&gt;"",E17&lt;&gt;"",F17&lt;&gt;"",G17&lt;&gt;"",H17&lt;&gt;""),"Completa","Incompleta"))</f>
        <v/>
      </c>
      <c r="M17" s="10" t="str">
        <f aca="false">IF(C17="","",IF(AND(K17="Completa",L17="Completa"),"Completa","Parcial"))</f>
        <v/>
      </c>
    </row>
    <row r="18" customFormat="false" ht="15" hidden="false" customHeight="false" outlineLevel="0" collapsed="false">
      <c r="A18" s="18"/>
      <c r="B18" s="10"/>
      <c r="C18" s="10"/>
      <c r="D18" s="10"/>
      <c r="E18" s="10"/>
      <c r="F18" s="10"/>
      <c r="G18" s="10"/>
      <c r="H18" s="5"/>
      <c r="I18" s="10"/>
      <c r="J18" s="10"/>
      <c r="K18" s="10" t="str">
        <f aca="false">IF(C18="","",IF(AND(A18&lt;&gt;"",B18&lt;&gt;""),"Completa","Incompleta"))</f>
        <v/>
      </c>
      <c r="L18" s="10" t="str">
        <f aca="false">IF(C18="","",IF(AND(D18&lt;&gt;"",E18&lt;&gt;"",F18&lt;&gt;"",G18&lt;&gt;"",H18&lt;&gt;""),"Completa","Incompleta"))</f>
        <v/>
      </c>
      <c r="M18" s="10" t="str">
        <f aca="false">IF(C18="","",IF(AND(K18="Completa",L18="Completa"),"Completa","Parcial"))</f>
        <v/>
      </c>
    </row>
    <row r="19" customFormat="false" ht="15" hidden="false" customHeight="false" outlineLevel="0" collapsed="false">
      <c r="A19" s="18"/>
      <c r="B19" s="10"/>
      <c r="C19" s="10"/>
      <c r="D19" s="10"/>
      <c r="E19" s="10"/>
      <c r="F19" s="10"/>
      <c r="G19" s="10"/>
      <c r="H19" s="5"/>
      <c r="I19" s="10"/>
      <c r="J19" s="10"/>
      <c r="K19" s="10" t="str">
        <f aca="false">IF(C19="","",IF(AND(A19&lt;&gt;"",B19&lt;&gt;""),"Completa","Incompleta"))</f>
        <v/>
      </c>
      <c r="L19" s="10" t="str">
        <f aca="false">IF(C19="","",IF(AND(D19&lt;&gt;"",E19&lt;&gt;"",F19&lt;&gt;"",G19&lt;&gt;"",H19&lt;&gt;""),"Completa","Incompleta"))</f>
        <v/>
      </c>
      <c r="M19" s="10" t="str">
        <f aca="false">IF(C19="","",IF(AND(K19="Completa",L19="Completa"),"Completa","Parcial"))</f>
        <v/>
      </c>
    </row>
    <row r="20" customFormat="false" ht="15" hidden="false" customHeight="false" outlineLevel="0" collapsed="false">
      <c r="A20" s="18"/>
      <c r="B20" s="10"/>
      <c r="C20" s="10"/>
      <c r="D20" s="10"/>
      <c r="E20" s="10"/>
      <c r="F20" s="10"/>
      <c r="G20" s="10"/>
      <c r="H20" s="5"/>
      <c r="I20" s="10"/>
      <c r="J20" s="10"/>
      <c r="K20" s="10" t="str">
        <f aca="false">IF(C20="","",IF(AND(A20&lt;&gt;"",B20&lt;&gt;""),"Completa","Incompleta"))</f>
        <v/>
      </c>
      <c r="L20" s="10" t="str">
        <f aca="false">IF(C20="","",IF(AND(D20&lt;&gt;"",E20&lt;&gt;"",F20&lt;&gt;"",G20&lt;&gt;"",H20&lt;&gt;""),"Completa","Incompleta"))</f>
        <v/>
      </c>
      <c r="M20" s="10" t="str">
        <f aca="false">IF(C20="","",IF(AND(K20="Completa",L20="Completa"),"Completa","Parcial"))</f>
        <v/>
      </c>
    </row>
    <row r="21" customFormat="false" ht="15" hidden="false" customHeight="false" outlineLevel="0" collapsed="false">
      <c r="A21" s="18"/>
      <c r="B21" s="10"/>
      <c r="C21" s="10"/>
      <c r="D21" s="10"/>
      <c r="E21" s="10"/>
      <c r="F21" s="10"/>
      <c r="G21" s="10"/>
      <c r="H21" s="5"/>
      <c r="I21" s="10"/>
      <c r="J21" s="10"/>
      <c r="K21" s="10" t="str">
        <f aca="false">IF(C21="","",IF(AND(A21&lt;&gt;"",B21&lt;&gt;""),"Completa","Incompleta"))</f>
        <v/>
      </c>
      <c r="L21" s="10" t="str">
        <f aca="false">IF(C21="","",IF(AND(D21&lt;&gt;"",E21&lt;&gt;"",F21&lt;&gt;"",G21&lt;&gt;"",H21&lt;&gt;""),"Completa","Incompleta"))</f>
        <v/>
      </c>
      <c r="M21" s="10" t="str">
        <f aca="false">IF(C21="","",IF(AND(K21="Completa",L21="Completa"),"Completa","Parcial"))</f>
        <v/>
      </c>
    </row>
    <row r="22" customFormat="false" ht="15" hidden="false" customHeight="false" outlineLevel="0" collapsed="false">
      <c r="A22" s="18"/>
      <c r="B22" s="10"/>
      <c r="C22" s="10"/>
      <c r="D22" s="10"/>
      <c r="E22" s="10"/>
      <c r="F22" s="10"/>
      <c r="G22" s="10"/>
      <c r="H22" s="5"/>
      <c r="I22" s="10"/>
      <c r="J22" s="10"/>
      <c r="K22" s="10" t="str">
        <f aca="false">IF(C22="","",IF(AND(A22&lt;&gt;"",B22&lt;&gt;""),"Completa","Incompleta"))</f>
        <v/>
      </c>
      <c r="L22" s="10" t="str">
        <f aca="false">IF(C22="","",IF(AND(D22&lt;&gt;"",E22&lt;&gt;"",F22&lt;&gt;"",G22&lt;&gt;"",H22&lt;&gt;""),"Completa","Incompleta"))</f>
        <v/>
      </c>
      <c r="M22" s="10" t="str">
        <f aca="false">IF(C22="","",IF(AND(K22="Completa",L22="Completa"),"Completa","Parcial"))</f>
        <v/>
      </c>
    </row>
    <row r="23" customFormat="false" ht="15" hidden="false" customHeight="false" outlineLevel="0" collapsed="false">
      <c r="A23" s="18"/>
      <c r="B23" s="10"/>
      <c r="C23" s="10"/>
      <c r="D23" s="10"/>
      <c r="E23" s="10"/>
      <c r="F23" s="10"/>
      <c r="G23" s="10"/>
      <c r="H23" s="5"/>
      <c r="I23" s="10"/>
      <c r="J23" s="10"/>
      <c r="K23" s="10" t="str">
        <f aca="false">IF(C23="","",IF(AND(A23&lt;&gt;"",B23&lt;&gt;""),"Completa","Incompleta"))</f>
        <v/>
      </c>
      <c r="L23" s="10" t="str">
        <f aca="false">IF(C23="","",IF(AND(D23&lt;&gt;"",E23&lt;&gt;"",F23&lt;&gt;"",G23&lt;&gt;"",H23&lt;&gt;""),"Completa","Incompleta"))</f>
        <v/>
      </c>
      <c r="M23" s="10" t="str">
        <f aca="false">IF(C23="","",IF(AND(K23="Completa",L23="Completa"),"Completa","Parcial"))</f>
        <v/>
      </c>
    </row>
    <row r="24" customFormat="false" ht="15" hidden="false" customHeight="false" outlineLevel="0" collapsed="false">
      <c r="A24" s="18"/>
      <c r="B24" s="10"/>
      <c r="C24" s="10"/>
      <c r="D24" s="10"/>
      <c r="E24" s="10"/>
      <c r="F24" s="10"/>
      <c r="G24" s="10"/>
      <c r="H24" s="5"/>
      <c r="I24" s="10"/>
      <c r="J24" s="10"/>
      <c r="K24" s="10" t="str">
        <f aca="false">IF(C24="","",IF(AND(A24&lt;&gt;"",B24&lt;&gt;""),"Completa","Incompleta"))</f>
        <v/>
      </c>
      <c r="L24" s="10" t="str">
        <f aca="false">IF(C24="","",IF(AND(D24&lt;&gt;"",E24&lt;&gt;"",F24&lt;&gt;"",G24&lt;&gt;"",H24&lt;&gt;""),"Completa","Incompleta"))</f>
        <v/>
      </c>
      <c r="M24" s="10" t="str">
        <f aca="false">IF(C24="","",IF(AND(K24="Completa",L24="Completa"),"Completa","Parcial"))</f>
        <v/>
      </c>
    </row>
    <row r="25" customFormat="false" ht="15" hidden="false" customHeight="false" outlineLevel="0" collapsed="false">
      <c r="A25" s="18"/>
      <c r="B25" s="10"/>
      <c r="C25" s="10"/>
      <c r="D25" s="10"/>
      <c r="E25" s="10"/>
      <c r="F25" s="10"/>
      <c r="G25" s="10"/>
      <c r="H25" s="5"/>
      <c r="I25" s="10"/>
      <c r="J25" s="10"/>
      <c r="K25" s="10" t="str">
        <f aca="false">IF(C25="","",IF(AND(A25&lt;&gt;"",B25&lt;&gt;""),"Completa","Incompleta"))</f>
        <v/>
      </c>
      <c r="L25" s="10" t="str">
        <f aca="false">IF(C25="","",IF(AND(D25&lt;&gt;"",E25&lt;&gt;"",F25&lt;&gt;"",G25&lt;&gt;"",H25&lt;&gt;""),"Completa","Incompleta"))</f>
        <v/>
      </c>
      <c r="M25" s="10" t="str">
        <f aca="false">IF(C25="","",IF(AND(K25="Completa",L25="Completa"),"Completa","Parcial"))</f>
        <v/>
      </c>
    </row>
    <row r="26" customFormat="false" ht="15" hidden="false" customHeight="false" outlineLevel="0" collapsed="false">
      <c r="A26" s="18"/>
      <c r="B26" s="10"/>
      <c r="C26" s="10"/>
      <c r="D26" s="10"/>
      <c r="E26" s="10"/>
      <c r="F26" s="10"/>
      <c r="G26" s="10"/>
      <c r="H26" s="5"/>
      <c r="I26" s="10"/>
      <c r="J26" s="10"/>
      <c r="K26" s="10" t="str">
        <f aca="false">IF(C26="","",IF(AND(A26&lt;&gt;"",B26&lt;&gt;""),"Completa","Incompleta"))</f>
        <v/>
      </c>
      <c r="L26" s="10" t="str">
        <f aca="false">IF(C26="","",IF(AND(D26&lt;&gt;"",E26&lt;&gt;"",F26&lt;&gt;"",G26&lt;&gt;"",H26&lt;&gt;""),"Completa","Incompleta"))</f>
        <v/>
      </c>
      <c r="M26" s="10" t="str">
        <f aca="false">IF(C26="","",IF(AND(K26="Completa",L26="Completa"),"Completa","Parcial"))</f>
        <v/>
      </c>
    </row>
    <row r="27" customFormat="false" ht="15" hidden="false" customHeight="false" outlineLevel="0" collapsed="false">
      <c r="A27" s="18"/>
      <c r="B27" s="10"/>
      <c r="C27" s="10"/>
      <c r="D27" s="10"/>
      <c r="E27" s="10"/>
      <c r="F27" s="10"/>
      <c r="G27" s="10"/>
      <c r="H27" s="5"/>
      <c r="I27" s="10"/>
      <c r="J27" s="10"/>
      <c r="K27" s="10" t="str">
        <f aca="false">IF(C27="","",IF(AND(A27&lt;&gt;"",B27&lt;&gt;""),"Completa","Incompleta"))</f>
        <v/>
      </c>
      <c r="L27" s="10" t="str">
        <f aca="false">IF(C27="","",IF(AND(D27&lt;&gt;"",E27&lt;&gt;"",F27&lt;&gt;"",G27&lt;&gt;"",H27&lt;&gt;""),"Completa","Incompleta"))</f>
        <v/>
      </c>
      <c r="M27" s="10" t="str">
        <f aca="false">IF(C27="","",IF(AND(K27="Completa",L27="Completa"),"Completa","Parcial"))</f>
        <v/>
      </c>
    </row>
    <row r="28" customFormat="false" ht="15" hidden="false" customHeight="false" outlineLevel="0" collapsed="false">
      <c r="A28" s="18"/>
      <c r="B28" s="10"/>
      <c r="C28" s="10"/>
      <c r="D28" s="10"/>
      <c r="E28" s="10"/>
      <c r="F28" s="10"/>
      <c r="G28" s="10"/>
      <c r="H28" s="5"/>
      <c r="I28" s="10"/>
      <c r="J28" s="10"/>
      <c r="K28" s="10" t="str">
        <f aca="false">IF(C28="","",IF(AND(A28&lt;&gt;"",B28&lt;&gt;""),"Completa","Incompleta"))</f>
        <v/>
      </c>
      <c r="L28" s="10" t="str">
        <f aca="false">IF(C28="","",IF(AND(D28&lt;&gt;"",E28&lt;&gt;"",F28&lt;&gt;"",G28&lt;&gt;"",H28&lt;&gt;""),"Completa","Incompleta"))</f>
        <v/>
      </c>
      <c r="M28" s="10" t="str">
        <f aca="false">IF(C28="","",IF(AND(K28="Completa",L28="Completa"),"Completa","Parcial"))</f>
        <v/>
      </c>
    </row>
    <row r="29" customFormat="false" ht="15" hidden="false" customHeight="false" outlineLevel="0" collapsed="false">
      <c r="A29" s="18"/>
      <c r="B29" s="10"/>
      <c r="C29" s="10"/>
      <c r="D29" s="10"/>
      <c r="E29" s="10"/>
      <c r="F29" s="10"/>
      <c r="G29" s="10"/>
      <c r="H29" s="5"/>
      <c r="I29" s="10"/>
      <c r="J29" s="10"/>
      <c r="K29" s="10" t="str">
        <f aca="false">IF(C29="","",IF(AND(A29&lt;&gt;"",B29&lt;&gt;""),"Completa","Incompleta"))</f>
        <v/>
      </c>
      <c r="L29" s="10" t="str">
        <f aca="false">IF(C29="","",IF(AND(D29&lt;&gt;"",E29&lt;&gt;"",F29&lt;&gt;"",G29&lt;&gt;"",H29&lt;&gt;""),"Completa","Incompleta"))</f>
        <v/>
      </c>
      <c r="M29" s="10" t="str">
        <f aca="false">IF(C29="","",IF(AND(K29="Completa",L29="Completa"),"Completa","Parcial"))</f>
        <v/>
      </c>
    </row>
    <row r="30" customFormat="false" ht="15" hidden="false" customHeight="false" outlineLevel="0" collapsed="false">
      <c r="A30" s="18"/>
      <c r="B30" s="10"/>
      <c r="C30" s="10"/>
      <c r="D30" s="10"/>
      <c r="E30" s="10"/>
      <c r="F30" s="10"/>
      <c r="G30" s="10"/>
      <c r="H30" s="5"/>
      <c r="I30" s="10"/>
      <c r="J30" s="10"/>
      <c r="K30" s="10" t="str">
        <f aca="false">IF(C30="","",IF(AND(A30&lt;&gt;"",B30&lt;&gt;""),"Completa","Incompleta"))</f>
        <v/>
      </c>
      <c r="L30" s="10" t="str">
        <f aca="false">IF(C30="","",IF(AND(D30&lt;&gt;"",E30&lt;&gt;"",F30&lt;&gt;"",G30&lt;&gt;"",H30&lt;&gt;""),"Completa","Incompleta"))</f>
        <v/>
      </c>
      <c r="M30" s="10" t="str">
        <f aca="false">IF(C30="","",IF(AND(K30="Completa",L30="Completa"),"Completa","Parcial"))</f>
        <v/>
      </c>
    </row>
    <row r="31" customFormat="false" ht="15" hidden="false" customHeight="false" outlineLevel="0" collapsed="false">
      <c r="A31" s="18"/>
      <c r="B31" s="10"/>
      <c r="C31" s="10"/>
      <c r="D31" s="10"/>
      <c r="E31" s="10"/>
      <c r="F31" s="10"/>
      <c r="G31" s="10"/>
      <c r="H31" s="5"/>
      <c r="I31" s="10"/>
      <c r="J31" s="10"/>
      <c r="K31" s="10" t="str">
        <f aca="false">IF(C31="","",IF(AND(A31&lt;&gt;"",B31&lt;&gt;""),"Completa","Incompleta"))</f>
        <v/>
      </c>
      <c r="L31" s="10" t="str">
        <f aca="false">IF(C31="","",IF(AND(D31&lt;&gt;"",E31&lt;&gt;"",F31&lt;&gt;"",G31&lt;&gt;"",H31&lt;&gt;""),"Completa","Incompleta"))</f>
        <v/>
      </c>
      <c r="M31" s="10" t="str">
        <f aca="false">IF(C31="","",IF(AND(K31="Completa",L31="Completa"),"Completa","Parcial"))</f>
        <v/>
      </c>
    </row>
    <row r="32" customFormat="false" ht="15" hidden="false" customHeight="false" outlineLevel="0" collapsed="false">
      <c r="A32" s="18"/>
      <c r="B32" s="10"/>
      <c r="C32" s="10"/>
      <c r="D32" s="10"/>
      <c r="E32" s="10"/>
      <c r="F32" s="10"/>
      <c r="G32" s="10"/>
      <c r="H32" s="5"/>
      <c r="I32" s="10"/>
      <c r="J32" s="10"/>
      <c r="K32" s="10" t="str">
        <f aca="false">IF(C32="","",IF(AND(A32&lt;&gt;"",B32&lt;&gt;""),"Completa","Incompleta"))</f>
        <v/>
      </c>
      <c r="L32" s="10" t="str">
        <f aca="false">IF(C32="","",IF(AND(D32&lt;&gt;"",E32&lt;&gt;"",F32&lt;&gt;"",G32&lt;&gt;"",H32&lt;&gt;""),"Completa","Incompleta"))</f>
        <v/>
      </c>
      <c r="M32" s="10" t="str">
        <f aca="false">IF(C32="","",IF(AND(K32="Completa",L32="Completa"),"Completa","Parcial"))</f>
        <v/>
      </c>
    </row>
    <row r="33" customFormat="false" ht="15" hidden="false" customHeight="false" outlineLevel="0" collapsed="false">
      <c r="A33" s="18"/>
      <c r="B33" s="10"/>
      <c r="C33" s="10"/>
      <c r="D33" s="10"/>
      <c r="E33" s="10"/>
      <c r="F33" s="10"/>
      <c r="G33" s="10"/>
      <c r="H33" s="5"/>
      <c r="I33" s="10"/>
      <c r="J33" s="10"/>
      <c r="K33" s="10" t="str">
        <f aca="false">IF(C33="","",IF(AND(A33&lt;&gt;"",B33&lt;&gt;""),"Completa","Incompleta"))</f>
        <v/>
      </c>
      <c r="L33" s="10" t="str">
        <f aca="false">IF(C33="","",IF(AND(D33&lt;&gt;"",E33&lt;&gt;"",F33&lt;&gt;"",G33&lt;&gt;"",H33&lt;&gt;""),"Completa","Incompleta"))</f>
        <v/>
      </c>
      <c r="M33" s="10" t="str">
        <f aca="false">IF(C33="","",IF(AND(K33="Completa",L33="Completa"),"Completa","Parcial"))</f>
        <v/>
      </c>
    </row>
    <row r="34" customFormat="false" ht="15" hidden="false" customHeight="false" outlineLevel="0" collapsed="false">
      <c r="A34" s="18"/>
      <c r="B34" s="10"/>
      <c r="C34" s="10"/>
      <c r="D34" s="10"/>
      <c r="E34" s="10"/>
      <c r="F34" s="10"/>
      <c r="G34" s="10"/>
      <c r="H34" s="5"/>
      <c r="I34" s="10"/>
      <c r="J34" s="10"/>
      <c r="K34" s="10" t="str">
        <f aca="false">IF(C34="","",IF(AND(A34&lt;&gt;"",B34&lt;&gt;""),"Completa","Incompleta"))</f>
        <v/>
      </c>
      <c r="L34" s="10" t="str">
        <f aca="false">IF(C34="","",IF(AND(D34&lt;&gt;"",E34&lt;&gt;"",F34&lt;&gt;"",G34&lt;&gt;"",H34&lt;&gt;""),"Completa","Incompleta"))</f>
        <v/>
      </c>
      <c r="M34" s="10" t="str">
        <f aca="false">IF(C34="","",IF(AND(K34="Completa",L34="Completa"),"Completa","Parcial"))</f>
        <v/>
      </c>
    </row>
    <row r="35" customFormat="false" ht="15" hidden="false" customHeight="false" outlineLevel="0" collapsed="false">
      <c r="A35" s="18"/>
      <c r="B35" s="10"/>
      <c r="C35" s="10"/>
      <c r="D35" s="10"/>
      <c r="E35" s="10"/>
      <c r="F35" s="10"/>
      <c r="G35" s="10"/>
      <c r="H35" s="5"/>
      <c r="I35" s="10"/>
      <c r="J35" s="10"/>
      <c r="K35" s="10" t="str">
        <f aca="false">IF(C35="","",IF(AND(A35&lt;&gt;"",B35&lt;&gt;""),"Completa","Incompleta"))</f>
        <v/>
      </c>
      <c r="L35" s="10" t="str">
        <f aca="false">IF(C35="","",IF(AND(D35&lt;&gt;"",E35&lt;&gt;"",F35&lt;&gt;"",G35&lt;&gt;"",H35&lt;&gt;""),"Completa","Incompleta"))</f>
        <v/>
      </c>
      <c r="M35" s="10" t="str">
        <f aca="false">IF(C35="","",IF(AND(K35="Completa",L35="Completa"),"Completa","Parcial"))</f>
        <v/>
      </c>
    </row>
    <row r="36" customFormat="false" ht="15" hidden="false" customHeight="false" outlineLevel="0" collapsed="false">
      <c r="A36" s="18"/>
      <c r="B36" s="10"/>
      <c r="C36" s="10"/>
      <c r="D36" s="10"/>
      <c r="E36" s="10"/>
      <c r="F36" s="10"/>
      <c r="G36" s="10"/>
      <c r="H36" s="5"/>
      <c r="I36" s="10"/>
      <c r="J36" s="10"/>
      <c r="K36" s="10" t="str">
        <f aca="false">IF(C36="","",IF(AND(A36&lt;&gt;"",B36&lt;&gt;""),"Completa","Incompleta"))</f>
        <v/>
      </c>
      <c r="L36" s="10" t="str">
        <f aca="false">IF(C36="","",IF(AND(D36&lt;&gt;"",E36&lt;&gt;"",F36&lt;&gt;"",G36&lt;&gt;"",H36&lt;&gt;""),"Completa","Incompleta"))</f>
        <v/>
      </c>
      <c r="M36" s="10" t="str">
        <f aca="false">IF(C36="","",IF(AND(K36="Completa",L36="Completa"),"Completa","Parcial"))</f>
        <v/>
      </c>
    </row>
    <row r="37" customFormat="false" ht="15" hidden="false" customHeight="false" outlineLevel="0" collapsed="false">
      <c r="A37" s="18"/>
      <c r="B37" s="10"/>
      <c r="C37" s="10"/>
      <c r="D37" s="10"/>
      <c r="E37" s="10"/>
      <c r="F37" s="10"/>
      <c r="G37" s="10"/>
      <c r="H37" s="5"/>
      <c r="I37" s="10"/>
      <c r="J37" s="10"/>
      <c r="K37" s="10" t="str">
        <f aca="false">IF(C37="","",IF(AND(A37&lt;&gt;"",B37&lt;&gt;""),"Completa","Incompleta"))</f>
        <v/>
      </c>
      <c r="L37" s="10" t="str">
        <f aca="false">IF(C37="","",IF(AND(D37&lt;&gt;"",E37&lt;&gt;"",F37&lt;&gt;"",G37&lt;&gt;"",H37&lt;&gt;""),"Completa","Incompleta"))</f>
        <v/>
      </c>
      <c r="M37" s="10" t="str">
        <f aca="false">IF(C37="","",IF(AND(K37="Completa",L37="Completa"),"Completa","Parcial"))</f>
        <v/>
      </c>
    </row>
    <row r="38" customFormat="false" ht="15" hidden="false" customHeight="false" outlineLevel="0" collapsed="false">
      <c r="A38" s="18"/>
      <c r="B38" s="10"/>
      <c r="C38" s="10"/>
      <c r="D38" s="10"/>
      <c r="E38" s="10"/>
      <c r="F38" s="10"/>
      <c r="G38" s="10"/>
      <c r="H38" s="5"/>
      <c r="I38" s="10"/>
      <c r="J38" s="10"/>
      <c r="K38" s="10" t="str">
        <f aca="false">IF(C38="","",IF(AND(A38&lt;&gt;"",B38&lt;&gt;""),"Completa","Incompleta"))</f>
        <v/>
      </c>
      <c r="L38" s="10" t="str">
        <f aca="false">IF(C38="","",IF(AND(D38&lt;&gt;"",E38&lt;&gt;"",F38&lt;&gt;"",G38&lt;&gt;"",H38&lt;&gt;""),"Completa","Incompleta"))</f>
        <v/>
      </c>
      <c r="M38" s="10" t="str">
        <f aca="false">IF(C38="","",IF(AND(K38="Completa",L38="Completa"),"Completa","Parcial"))</f>
        <v/>
      </c>
    </row>
    <row r="39" customFormat="false" ht="15" hidden="false" customHeight="false" outlineLevel="0" collapsed="false">
      <c r="A39" s="18"/>
      <c r="B39" s="10"/>
      <c r="C39" s="10"/>
      <c r="D39" s="10"/>
      <c r="E39" s="10"/>
      <c r="F39" s="10"/>
      <c r="G39" s="10"/>
      <c r="H39" s="5"/>
      <c r="I39" s="10"/>
      <c r="J39" s="10"/>
      <c r="K39" s="10" t="str">
        <f aca="false">IF(C39="","",IF(AND(A39&lt;&gt;"",B39&lt;&gt;""),"Completa","Incompleta"))</f>
        <v/>
      </c>
      <c r="L39" s="10" t="str">
        <f aca="false">IF(C39="","",IF(AND(D39&lt;&gt;"",E39&lt;&gt;"",F39&lt;&gt;"",G39&lt;&gt;"",H39&lt;&gt;""),"Completa","Incompleta"))</f>
        <v/>
      </c>
      <c r="M39" s="10" t="str">
        <f aca="false">IF(C39="","",IF(AND(K39="Completa",L39="Completa"),"Completa","Parcial"))</f>
        <v/>
      </c>
    </row>
    <row r="40" customFormat="false" ht="15" hidden="false" customHeight="false" outlineLevel="0" collapsed="false">
      <c r="A40" s="18"/>
      <c r="B40" s="10"/>
      <c r="C40" s="10"/>
      <c r="D40" s="10"/>
      <c r="E40" s="10"/>
      <c r="F40" s="10"/>
      <c r="G40" s="10"/>
      <c r="H40" s="5"/>
      <c r="I40" s="10"/>
      <c r="J40" s="10"/>
      <c r="K40" s="10" t="str">
        <f aca="false">IF(C40="","",IF(AND(A40&lt;&gt;"",B40&lt;&gt;""),"Completa","Incompleta"))</f>
        <v/>
      </c>
      <c r="L40" s="10" t="str">
        <f aca="false">IF(C40="","",IF(AND(D40&lt;&gt;"",E40&lt;&gt;"",F40&lt;&gt;"",G40&lt;&gt;"",H40&lt;&gt;""),"Completa","Incompleta"))</f>
        <v/>
      </c>
      <c r="M40" s="10" t="str">
        <f aca="false">IF(C40="","",IF(AND(K40="Completa",L40="Completa"),"Completa","Parcial"))</f>
        <v/>
      </c>
    </row>
    <row r="41" customFormat="false" ht="15" hidden="false" customHeight="false" outlineLevel="0" collapsed="false">
      <c r="A41" s="18"/>
      <c r="B41" s="10"/>
      <c r="C41" s="10"/>
      <c r="D41" s="10"/>
      <c r="E41" s="10"/>
      <c r="F41" s="10"/>
      <c r="G41" s="10"/>
      <c r="H41" s="5"/>
      <c r="I41" s="10"/>
      <c r="J41" s="10"/>
      <c r="K41" s="10" t="str">
        <f aca="false">IF(C41="","",IF(AND(A41&lt;&gt;"",B41&lt;&gt;""),"Completa","Incompleta"))</f>
        <v/>
      </c>
      <c r="L41" s="10" t="str">
        <f aca="false">IF(C41="","",IF(AND(D41&lt;&gt;"",E41&lt;&gt;"",F41&lt;&gt;"",G41&lt;&gt;"",H41&lt;&gt;""),"Completa","Incompleta"))</f>
        <v/>
      </c>
      <c r="M41" s="10" t="str">
        <f aca="false">IF(C41="","",IF(AND(K41="Completa",L41="Completa"),"Completa","Parcial"))</f>
        <v/>
      </c>
    </row>
    <row r="42" customFormat="false" ht="15" hidden="false" customHeight="false" outlineLevel="0" collapsed="false">
      <c r="A42" s="18"/>
      <c r="B42" s="10"/>
      <c r="C42" s="10"/>
      <c r="D42" s="10"/>
      <c r="E42" s="10"/>
      <c r="F42" s="10"/>
      <c r="G42" s="10"/>
      <c r="H42" s="5"/>
      <c r="I42" s="10"/>
      <c r="J42" s="10"/>
      <c r="K42" s="10" t="str">
        <f aca="false">IF(C42="","",IF(AND(A42&lt;&gt;"",B42&lt;&gt;""),"Completa","Incompleta"))</f>
        <v/>
      </c>
      <c r="L42" s="10" t="str">
        <f aca="false">IF(C42="","",IF(AND(D42&lt;&gt;"",E42&lt;&gt;"",F42&lt;&gt;"",G42&lt;&gt;"",H42&lt;&gt;""),"Completa","Incompleta"))</f>
        <v/>
      </c>
      <c r="M42" s="10" t="str">
        <f aca="false">IF(C42="","",IF(AND(K42="Completa",L42="Completa"),"Completa","Parcial"))</f>
        <v/>
      </c>
    </row>
    <row r="43" customFormat="false" ht="15" hidden="false" customHeight="false" outlineLevel="0" collapsed="false">
      <c r="A43" s="18"/>
      <c r="B43" s="10"/>
      <c r="C43" s="10"/>
      <c r="D43" s="10"/>
      <c r="E43" s="10"/>
      <c r="F43" s="10"/>
      <c r="G43" s="10"/>
      <c r="H43" s="5"/>
      <c r="I43" s="10"/>
      <c r="J43" s="10"/>
      <c r="K43" s="10" t="str">
        <f aca="false">IF(C43="","",IF(AND(A43&lt;&gt;"",B43&lt;&gt;""),"Completa","Incompleta"))</f>
        <v/>
      </c>
      <c r="L43" s="10" t="str">
        <f aca="false">IF(C43="","",IF(AND(D43&lt;&gt;"",E43&lt;&gt;"",F43&lt;&gt;"",G43&lt;&gt;"",H43&lt;&gt;""),"Completa","Incompleta"))</f>
        <v/>
      </c>
      <c r="M43" s="10" t="str">
        <f aca="false">IF(C43="","",IF(AND(K43="Completa",L43="Completa"),"Completa","Parcial"))</f>
        <v/>
      </c>
    </row>
    <row r="44" customFormat="false" ht="15" hidden="false" customHeight="false" outlineLevel="0" collapsed="false">
      <c r="A44" s="18"/>
      <c r="B44" s="10"/>
      <c r="C44" s="10"/>
      <c r="D44" s="10"/>
      <c r="E44" s="10"/>
      <c r="F44" s="10"/>
      <c r="G44" s="10"/>
      <c r="H44" s="5"/>
      <c r="I44" s="10"/>
      <c r="J44" s="10"/>
      <c r="K44" s="10" t="str">
        <f aca="false">IF(C44="","",IF(AND(A44&lt;&gt;"",B44&lt;&gt;""),"Completa","Incompleta"))</f>
        <v/>
      </c>
      <c r="L44" s="10" t="str">
        <f aca="false">IF(C44="","",IF(AND(D44&lt;&gt;"",E44&lt;&gt;"",F44&lt;&gt;"",G44&lt;&gt;"",H44&lt;&gt;""),"Completa","Incompleta"))</f>
        <v/>
      </c>
      <c r="M44" s="10" t="str">
        <f aca="false">IF(C44="","",IF(AND(K44="Completa",L44="Completa"),"Completa","Parcial"))</f>
        <v/>
      </c>
    </row>
    <row r="45" customFormat="false" ht="15" hidden="false" customHeight="false" outlineLevel="0" collapsed="false">
      <c r="A45" s="18"/>
      <c r="B45" s="10"/>
      <c r="C45" s="10"/>
      <c r="D45" s="10"/>
      <c r="E45" s="10"/>
      <c r="F45" s="10"/>
      <c r="G45" s="10"/>
      <c r="H45" s="5"/>
      <c r="I45" s="10"/>
      <c r="J45" s="10"/>
      <c r="K45" s="10" t="str">
        <f aca="false">IF(C45="","",IF(AND(A45&lt;&gt;"",B45&lt;&gt;""),"Completa","Incompleta"))</f>
        <v/>
      </c>
      <c r="L45" s="10" t="str">
        <f aca="false">IF(C45="","",IF(AND(D45&lt;&gt;"",E45&lt;&gt;"",F45&lt;&gt;"",G45&lt;&gt;"",H45&lt;&gt;""),"Completa","Incompleta"))</f>
        <v/>
      </c>
      <c r="M45" s="10" t="str">
        <f aca="false">IF(C45="","",IF(AND(K45="Completa",L45="Completa"),"Completa","Parcial"))</f>
        <v/>
      </c>
    </row>
    <row r="46" customFormat="false" ht="15" hidden="false" customHeight="false" outlineLevel="0" collapsed="false">
      <c r="A46" s="18"/>
      <c r="B46" s="10"/>
      <c r="C46" s="10"/>
      <c r="D46" s="10"/>
      <c r="E46" s="10"/>
      <c r="F46" s="10"/>
      <c r="G46" s="10"/>
      <c r="H46" s="5"/>
      <c r="I46" s="10"/>
      <c r="J46" s="10"/>
      <c r="K46" s="10" t="str">
        <f aca="false">IF(C46="","",IF(AND(A46&lt;&gt;"",B46&lt;&gt;""),"Completa","Incompleta"))</f>
        <v/>
      </c>
      <c r="L46" s="10" t="str">
        <f aca="false">IF(C46="","",IF(AND(D46&lt;&gt;"",E46&lt;&gt;"",F46&lt;&gt;"",G46&lt;&gt;"",H46&lt;&gt;""),"Completa","Incompleta"))</f>
        <v/>
      </c>
      <c r="M46" s="10" t="str">
        <f aca="false">IF(C46="","",IF(AND(K46="Completa",L46="Completa"),"Completa","Parcial"))</f>
        <v/>
      </c>
    </row>
    <row r="47" customFormat="false" ht="15" hidden="false" customHeight="false" outlineLevel="0" collapsed="false">
      <c r="A47" s="18"/>
      <c r="B47" s="10"/>
      <c r="C47" s="10"/>
      <c r="D47" s="10"/>
      <c r="E47" s="10"/>
      <c r="F47" s="10"/>
      <c r="G47" s="10"/>
      <c r="H47" s="5"/>
      <c r="I47" s="10"/>
      <c r="J47" s="10"/>
      <c r="K47" s="10" t="str">
        <f aca="false">IF(C47="","",IF(AND(A47&lt;&gt;"",B47&lt;&gt;""),"Completa","Incompleta"))</f>
        <v/>
      </c>
      <c r="L47" s="10" t="str">
        <f aca="false">IF(C47="","",IF(AND(D47&lt;&gt;"",E47&lt;&gt;"",F47&lt;&gt;"",G47&lt;&gt;"",H47&lt;&gt;""),"Completa","Incompleta"))</f>
        <v/>
      </c>
      <c r="M47" s="10" t="str">
        <f aca="false">IF(C47="","",IF(AND(K47="Completa",L47="Completa"),"Completa","Parcial"))</f>
        <v/>
      </c>
    </row>
    <row r="48" customFormat="false" ht="15" hidden="false" customHeight="false" outlineLevel="0" collapsed="false">
      <c r="A48" s="18"/>
      <c r="B48" s="10"/>
      <c r="C48" s="10"/>
      <c r="D48" s="10"/>
      <c r="E48" s="10"/>
      <c r="F48" s="10"/>
      <c r="G48" s="10"/>
      <c r="H48" s="5"/>
      <c r="I48" s="10"/>
      <c r="J48" s="10"/>
      <c r="K48" s="10" t="str">
        <f aca="false">IF(C48="","",IF(AND(A48&lt;&gt;"",B48&lt;&gt;""),"Completa","Incompleta"))</f>
        <v/>
      </c>
      <c r="L48" s="10" t="str">
        <f aca="false">IF(C48="","",IF(AND(D48&lt;&gt;"",E48&lt;&gt;"",F48&lt;&gt;"",G48&lt;&gt;"",H48&lt;&gt;""),"Completa","Incompleta"))</f>
        <v/>
      </c>
      <c r="M48" s="10" t="str">
        <f aca="false">IF(C48="","",IF(AND(K48="Completa",L48="Completa"),"Completa","Parcial"))</f>
        <v/>
      </c>
    </row>
    <row r="49" customFormat="false" ht="15" hidden="false" customHeight="false" outlineLevel="0" collapsed="false">
      <c r="A49" s="18"/>
      <c r="B49" s="10"/>
      <c r="C49" s="10"/>
      <c r="D49" s="10"/>
      <c r="E49" s="10"/>
      <c r="F49" s="10"/>
      <c r="G49" s="10"/>
      <c r="H49" s="5"/>
      <c r="I49" s="10"/>
      <c r="J49" s="10"/>
      <c r="K49" s="10" t="str">
        <f aca="false">IF(C49="","",IF(AND(A49&lt;&gt;"",B49&lt;&gt;""),"Completa","Incompleta"))</f>
        <v/>
      </c>
      <c r="L49" s="10" t="str">
        <f aca="false">IF(C49="","",IF(AND(D49&lt;&gt;"",E49&lt;&gt;"",F49&lt;&gt;"",G49&lt;&gt;"",H49&lt;&gt;""),"Completa","Incompleta"))</f>
        <v/>
      </c>
      <c r="M49" s="10" t="str">
        <f aca="false">IF(C49="","",IF(AND(K49="Completa",L49="Completa"),"Completa","Parcial"))</f>
        <v/>
      </c>
    </row>
    <row r="50" customFormat="false" ht="15" hidden="false" customHeight="false" outlineLevel="0" collapsed="false">
      <c r="A50" s="18"/>
      <c r="B50" s="10"/>
      <c r="C50" s="10"/>
      <c r="D50" s="10"/>
      <c r="E50" s="10"/>
      <c r="F50" s="10"/>
      <c r="G50" s="10"/>
      <c r="H50" s="5"/>
      <c r="I50" s="10"/>
      <c r="J50" s="10"/>
      <c r="K50" s="10" t="str">
        <f aca="false">IF(C50="","",IF(AND(A50&lt;&gt;"",B50&lt;&gt;""),"Completa","Incompleta"))</f>
        <v/>
      </c>
      <c r="L50" s="10" t="str">
        <f aca="false">IF(C50="","",IF(AND(D50&lt;&gt;"",E50&lt;&gt;"",F50&lt;&gt;"",G50&lt;&gt;"",H50&lt;&gt;""),"Completa","Incompleta"))</f>
        <v/>
      </c>
      <c r="M50" s="10" t="str">
        <f aca="false">IF(C50="","",IF(AND(K50="Completa",L50="Completa"),"Completa","Parcial"))</f>
        <v/>
      </c>
    </row>
    <row r="51" customFormat="false" ht="15" hidden="false" customHeight="false" outlineLevel="0" collapsed="false">
      <c r="A51" s="18"/>
      <c r="B51" s="10"/>
      <c r="C51" s="10"/>
      <c r="D51" s="10"/>
      <c r="E51" s="10"/>
      <c r="F51" s="10"/>
      <c r="G51" s="10"/>
      <c r="H51" s="5"/>
      <c r="I51" s="10"/>
      <c r="J51" s="10"/>
      <c r="K51" s="10" t="str">
        <f aca="false">IF(C51="","",IF(AND(A51&lt;&gt;"",B51&lt;&gt;""),"Completa","Incompleta"))</f>
        <v/>
      </c>
      <c r="L51" s="10" t="str">
        <f aca="false">IF(C51="","",IF(AND(D51&lt;&gt;"",E51&lt;&gt;"",F51&lt;&gt;"",G51&lt;&gt;"",H51&lt;&gt;""),"Completa","Incompleta"))</f>
        <v/>
      </c>
      <c r="M51" s="10" t="str">
        <f aca="false">IF(C51="","",IF(AND(K51="Completa",L51="Completa"),"Completa","Parcial"))</f>
        <v/>
      </c>
    </row>
    <row r="52" customFormat="false" ht="15" hidden="false" customHeight="false" outlineLevel="0" collapsed="false">
      <c r="A52" s="18"/>
      <c r="B52" s="10"/>
      <c r="C52" s="10"/>
      <c r="D52" s="10"/>
      <c r="E52" s="10"/>
      <c r="F52" s="10"/>
      <c r="G52" s="10"/>
      <c r="H52" s="5"/>
      <c r="I52" s="10"/>
      <c r="J52" s="10"/>
      <c r="K52" s="10" t="str">
        <f aca="false">IF(C52="","",IF(AND(A52&lt;&gt;"",B52&lt;&gt;""),"Completa","Incompleta"))</f>
        <v/>
      </c>
      <c r="L52" s="10" t="str">
        <f aca="false">IF(C52="","",IF(AND(D52&lt;&gt;"",E52&lt;&gt;"",F52&lt;&gt;"",G52&lt;&gt;"",H52&lt;&gt;""),"Completa","Incompleta"))</f>
        <v/>
      </c>
      <c r="M52" s="10" t="str">
        <f aca="false">IF(C52="","",IF(AND(K52="Completa",L52="Completa"),"Completa","Parcial"))</f>
        <v/>
      </c>
    </row>
    <row r="53" customFormat="false" ht="15" hidden="false" customHeight="false" outlineLevel="0" collapsed="false">
      <c r="A53" s="18"/>
      <c r="B53" s="10"/>
      <c r="C53" s="10"/>
      <c r="D53" s="10"/>
      <c r="E53" s="10"/>
      <c r="F53" s="10"/>
      <c r="G53" s="10"/>
      <c r="H53" s="5"/>
      <c r="I53" s="10"/>
      <c r="J53" s="10"/>
      <c r="K53" s="10" t="str">
        <f aca="false">IF(C53="","",IF(AND(A53&lt;&gt;"",B53&lt;&gt;""),"Completa","Incompleta"))</f>
        <v/>
      </c>
      <c r="L53" s="10" t="str">
        <f aca="false">IF(C53="","",IF(AND(D53&lt;&gt;"",E53&lt;&gt;"",F53&lt;&gt;"",G53&lt;&gt;"",H53&lt;&gt;""),"Completa","Incompleta"))</f>
        <v/>
      </c>
      <c r="M53" s="10" t="str">
        <f aca="false">IF(C53="","",IF(AND(K53="Completa",L53="Completa"),"Completa","Parcial"))</f>
        <v/>
      </c>
    </row>
    <row r="54" customFormat="false" ht="15" hidden="false" customHeight="false" outlineLevel="0" collapsed="false">
      <c r="A54" s="18"/>
      <c r="B54" s="10"/>
      <c r="C54" s="10"/>
      <c r="D54" s="10"/>
      <c r="E54" s="10"/>
      <c r="F54" s="10"/>
      <c r="G54" s="10"/>
      <c r="H54" s="5"/>
      <c r="I54" s="10"/>
      <c r="J54" s="10"/>
      <c r="K54" s="10" t="str">
        <f aca="false">IF(C54="","",IF(AND(A54&lt;&gt;"",B54&lt;&gt;""),"Completa","Incompleta"))</f>
        <v/>
      </c>
      <c r="L54" s="10" t="str">
        <f aca="false">IF(C54="","",IF(AND(D54&lt;&gt;"",E54&lt;&gt;"",F54&lt;&gt;"",G54&lt;&gt;"",H54&lt;&gt;""),"Completa","Incompleta"))</f>
        <v/>
      </c>
      <c r="M54" s="10" t="str">
        <f aca="false">IF(C54="","",IF(AND(K54="Completa",L54="Completa"),"Completa","Parcial"))</f>
        <v/>
      </c>
    </row>
    <row r="55" customFormat="false" ht="15" hidden="false" customHeight="false" outlineLevel="0" collapsed="false">
      <c r="A55" s="18"/>
      <c r="B55" s="10"/>
      <c r="C55" s="10"/>
      <c r="D55" s="10"/>
      <c r="E55" s="10"/>
      <c r="F55" s="10"/>
      <c r="G55" s="10"/>
      <c r="H55" s="5"/>
      <c r="I55" s="10"/>
      <c r="J55" s="10"/>
      <c r="K55" s="10" t="str">
        <f aca="false">IF(C55="","",IF(AND(A55&lt;&gt;"",B55&lt;&gt;""),"Completa","Incompleta"))</f>
        <v/>
      </c>
      <c r="L55" s="10" t="str">
        <f aca="false">IF(C55="","",IF(AND(D55&lt;&gt;"",E55&lt;&gt;"",F55&lt;&gt;"",G55&lt;&gt;"",H55&lt;&gt;""),"Completa","Incompleta"))</f>
        <v/>
      </c>
      <c r="M55" s="10" t="str">
        <f aca="false">IF(C55="","",IF(AND(K55="Completa",L55="Completa"),"Completa","Parcial"))</f>
        <v/>
      </c>
    </row>
    <row r="56" customFormat="false" ht="15" hidden="false" customHeight="false" outlineLevel="0" collapsed="false">
      <c r="A56" s="18"/>
      <c r="B56" s="10"/>
      <c r="C56" s="10"/>
      <c r="D56" s="10"/>
      <c r="E56" s="10"/>
      <c r="F56" s="10"/>
      <c r="G56" s="10"/>
      <c r="H56" s="5"/>
      <c r="I56" s="10"/>
      <c r="J56" s="10"/>
      <c r="K56" s="10" t="str">
        <f aca="false">IF(C56="","",IF(AND(A56&lt;&gt;"",B56&lt;&gt;""),"Completa","Incompleta"))</f>
        <v/>
      </c>
      <c r="L56" s="10" t="str">
        <f aca="false">IF(C56="","",IF(AND(D56&lt;&gt;"",E56&lt;&gt;"",F56&lt;&gt;"",G56&lt;&gt;"",H56&lt;&gt;""),"Completa","Incompleta"))</f>
        <v/>
      </c>
      <c r="M56" s="10" t="str">
        <f aca="false">IF(C56="","",IF(AND(K56="Completa",L56="Completa"),"Completa","Parcial"))</f>
        <v/>
      </c>
    </row>
    <row r="57" customFormat="false" ht="15" hidden="false" customHeight="false" outlineLevel="0" collapsed="false">
      <c r="A57" s="18"/>
      <c r="B57" s="10"/>
      <c r="C57" s="10"/>
      <c r="D57" s="10"/>
      <c r="E57" s="10"/>
      <c r="F57" s="10"/>
      <c r="G57" s="10"/>
      <c r="H57" s="5"/>
      <c r="I57" s="10"/>
      <c r="J57" s="10"/>
      <c r="K57" s="10" t="str">
        <f aca="false">IF(C57="","",IF(AND(A57&lt;&gt;"",B57&lt;&gt;""),"Completa","Incompleta"))</f>
        <v/>
      </c>
      <c r="L57" s="10" t="str">
        <f aca="false">IF(C57="","",IF(AND(D57&lt;&gt;"",E57&lt;&gt;"",F57&lt;&gt;"",G57&lt;&gt;"",H57&lt;&gt;""),"Completa","Incompleta"))</f>
        <v/>
      </c>
      <c r="M57" s="10" t="str">
        <f aca="false">IF(C57="","",IF(AND(K57="Completa",L57="Completa"),"Completa","Parcial"))</f>
        <v/>
      </c>
    </row>
    <row r="58" customFormat="false" ht="15" hidden="false" customHeight="false" outlineLevel="0" collapsed="false">
      <c r="A58" s="18"/>
      <c r="B58" s="10"/>
      <c r="C58" s="10"/>
      <c r="D58" s="10"/>
      <c r="E58" s="10"/>
      <c r="F58" s="10"/>
      <c r="G58" s="10"/>
      <c r="H58" s="5"/>
      <c r="I58" s="10"/>
      <c r="J58" s="10"/>
      <c r="K58" s="10" t="str">
        <f aca="false">IF(C58="","",IF(AND(A58&lt;&gt;"",B58&lt;&gt;""),"Completa","Incompleta"))</f>
        <v/>
      </c>
      <c r="L58" s="10" t="str">
        <f aca="false">IF(C58="","",IF(AND(D58&lt;&gt;"",E58&lt;&gt;"",F58&lt;&gt;"",G58&lt;&gt;"",H58&lt;&gt;""),"Completa","Incompleta"))</f>
        <v/>
      </c>
      <c r="M58" s="10" t="str">
        <f aca="false">IF(C58="","",IF(AND(K58="Completa",L58="Completa"),"Completa","Parcial"))</f>
        <v/>
      </c>
    </row>
    <row r="59" customFormat="false" ht="15" hidden="false" customHeight="false" outlineLevel="0" collapsed="false">
      <c r="A59" s="18"/>
      <c r="B59" s="10"/>
      <c r="C59" s="10"/>
      <c r="D59" s="10"/>
      <c r="E59" s="10"/>
      <c r="F59" s="10"/>
      <c r="G59" s="10"/>
      <c r="H59" s="5"/>
      <c r="I59" s="10"/>
      <c r="J59" s="10"/>
      <c r="K59" s="10" t="str">
        <f aca="false">IF(C59="","",IF(AND(A59&lt;&gt;"",B59&lt;&gt;""),"Completa","Incompleta"))</f>
        <v/>
      </c>
      <c r="L59" s="10" t="str">
        <f aca="false">IF(C59="","",IF(AND(D59&lt;&gt;"",E59&lt;&gt;"",F59&lt;&gt;"",G59&lt;&gt;"",H59&lt;&gt;""),"Completa","Incompleta"))</f>
        <v/>
      </c>
      <c r="M59" s="10" t="str">
        <f aca="false">IF(C59="","",IF(AND(K59="Completa",L59="Completa"),"Completa","Parcial"))</f>
        <v/>
      </c>
    </row>
    <row r="60" customFormat="false" ht="15" hidden="false" customHeight="false" outlineLevel="0" collapsed="false">
      <c r="A60" s="18"/>
      <c r="B60" s="10"/>
      <c r="C60" s="10"/>
      <c r="D60" s="10"/>
      <c r="E60" s="10"/>
      <c r="F60" s="10"/>
      <c r="G60" s="10"/>
      <c r="H60" s="5"/>
      <c r="I60" s="10"/>
      <c r="J60" s="10"/>
      <c r="K60" s="10" t="str">
        <f aca="false">IF(C60="","",IF(AND(A60&lt;&gt;"",B60&lt;&gt;""),"Completa","Incompleta"))</f>
        <v/>
      </c>
      <c r="L60" s="10" t="str">
        <f aca="false">IF(C60="","",IF(AND(D60&lt;&gt;"",E60&lt;&gt;"",F60&lt;&gt;"",G60&lt;&gt;"",H60&lt;&gt;""),"Completa","Incompleta"))</f>
        <v/>
      </c>
      <c r="M60" s="10" t="str">
        <f aca="false">IF(C60="","",IF(AND(K60="Completa",L60="Completa"),"Completa","Parcial"))</f>
        <v/>
      </c>
    </row>
    <row r="61" customFormat="false" ht="15" hidden="false" customHeight="false" outlineLevel="0" collapsed="false">
      <c r="A61" s="18"/>
      <c r="B61" s="10"/>
      <c r="C61" s="10"/>
      <c r="D61" s="10"/>
      <c r="E61" s="10"/>
      <c r="F61" s="10"/>
      <c r="G61" s="10"/>
      <c r="H61" s="5"/>
      <c r="I61" s="10"/>
      <c r="J61" s="10"/>
      <c r="K61" s="10" t="str">
        <f aca="false">IF(C61="","",IF(AND(A61&lt;&gt;"",B61&lt;&gt;""),"Completa","Incompleta"))</f>
        <v/>
      </c>
      <c r="L61" s="10" t="str">
        <f aca="false">IF(C61="","",IF(AND(D61&lt;&gt;"",E61&lt;&gt;"",F61&lt;&gt;"",G61&lt;&gt;"",H61&lt;&gt;""),"Completa","Incompleta"))</f>
        <v/>
      </c>
      <c r="M61" s="10" t="str">
        <f aca="false">IF(C61="","",IF(AND(K61="Completa",L61="Completa"),"Completa","Parcial"))</f>
        <v/>
      </c>
    </row>
    <row r="62" customFormat="false" ht="15" hidden="false" customHeight="false" outlineLevel="0" collapsed="false">
      <c r="A62" s="18"/>
      <c r="B62" s="10"/>
      <c r="C62" s="10"/>
      <c r="D62" s="10"/>
      <c r="E62" s="10"/>
      <c r="F62" s="10"/>
      <c r="G62" s="10"/>
      <c r="H62" s="5"/>
      <c r="I62" s="10"/>
      <c r="J62" s="10"/>
      <c r="K62" s="10" t="str">
        <f aca="false">IF(C62="","",IF(AND(A62&lt;&gt;"",B62&lt;&gt;""),"Completa","Incompleta"))</f>
        <v/>
      </c>
      <c r="L62" s="10" t="str">
        <f aca="false">IF(C62="","",IF(AND(D62&lt;&gt;"",E62&lt;&gt;"",F62&lt;&gt;"",G62&lt;&gt;"",H62&lt;&gt;""),"Completa","Incompleta"))</f>
        <v/>
      </c>
      <c r="M62" s="10" t="str">
        <f aca="false">IF(C62="","",IF(AND(K62="Completa",L62="Completa"),"Completa","Parcial"))</f>
        <v/>
      </c>
    </row>
    <row r="63" customFormat="false" ht="15" hidden="false" customHeight="false" outlineLevel="0" collapsed="false">
      <c r="A63" s="18"/>
      <c r="B63" s="10"/>
      <c r="C63" s="10"/>
      <c r="D63" s="10"/>
      <c r="E63" s="10"/>
      <c r="F63" s="10"/>
      <c r="G63" s="10"/>
      <c r="H63" s="5"/>
      <c r="I63" s="10"/>
      <c r="J63" s="10"/>
      <c r="K63" s="10" t="str">
        <f aca="false">IF(C63="","",IF(AND(A63&lt;&gt;"",B63&lt;&gt;""),"Completa","Incompleta"))</f>
        <v/>
      </c>
      <c r="L63" s="10" t="str">
        <f aca="false">IF(C63="","",IF(AND(D63&lt;&gt;"",E63&lt;&gt;"",F63&lt;&gt;"",G63&lt;&gt;"",H63&lt;&gt;""),"Completa","Incompleta"))</f>
        <v/>
      </c>
      <c r="M63" s="10" t="str">
        <f aca="false">IF(C63="","",IF(AND(K63="Completa",L63="Completa"),"Completa","Parcial"))</f>
        <v/>
      </c>
    </row>
    <row r="64" customFormat="false" ht="15" hidden="false" customHeight="false" outlineLevel="0" collapsed="false">
      <c r="A64" s="18"/>
      <c r="B64" s="10"/>
      <c r="C64" s="10"/>
      <c r="D64" s="10"/>
      <c r="E64" s="10"/>
      <c r="F64" s="10"/>
      <c r="G64" s="10"/>
      <c r="H64" s="5"/>
      <c r="I64" s="10"/>
      <c r="J64" s="10"/>
      <c r="K64" s="10" t="str">
        <f aca="false">IF(C64="","",IF(AND(A64&lt;&gt;"",B64&lt;&gt;""),"Completa","Incompleta"))</f>
        <v/>
      </c>
      <c r="L64" s="10" t="str">
        <f aca="false">IF(C64="","",IF(AND(D64&lt;&gt;"",E64&lt;&gt;"",F64&lt;&gt;"",G64&lt;&gt;"",H64&lt;&gt;""),"Completa","Incompleta"))</f>
        <v/>
      </c>
      <c r="M64" s="10" t="str">
        <f aca="false">IF(C64="","",IF(AND(K64="Completa",L64="Completa"),"Completa","Parcial"))</f>
        <v/>
      </c>
    </row>
    <row r="65" customFormat="false" ht="15" hidden="false" customHeight="false" outlineLevel="0" collapsed="false">
      <c r="A65" s="18"/>
      <c r="B65" s="10"/>
      <c r="C65" s="10"/>
      <c r="D65" s="10"/>
      <c r="E65" s="10"/>
      <c r="F65" s="10"/>
      <c r="G65" s="10"/>
      <c r="H65" s="5"/>
      <c r="I65" s="10"/>
      <c r="J65" s="10"/>
      <c r="K65" s="10" t="str">
        <f aca="false">IF(C65="","",IF(AND(A65&lt;&gt;"",B65&lt;&gt;""),"Completa","Incompleta"))</f>
        <v/>
      </c>
      <c r="L65" s="10" t="str">
        <f aca="false">IF(C65="","",IF(AND(D65&lt;&gt;"",E65&lt;&gt;"",F65&lt;&gt;"",G65&lt;&gt;"",H65&lt;&gt;""),"Completa","Incompleta"))</f>
        <v/>
      </c>
      <c r="M65" s="10" t="str">
        <f aca="false">IF(C65="","",IF(AND(K65="Completa",L65="Completa"),"Completa","Parcial"))</f>
        <v/>
      </c>
    </row>
    <row r="66" customFormat="false" ht="15" hidden="false" customHeight="false" outlineLevel="0" collapsed="false">
      <c r="A66" s="18"/>
      <c r="B66" s="10"/>
      <c r="C66" s="10"/>
      <c r="D66" s="10"/>
      <c r="E66" s="10"/>
      <c r="F66" s="10"/>
      <c r="G66" s="10"/>
      <c r="H66" s="5"/>
      <c r="I66" s="10"/>
      <c r="J66" s="10"/>
      <c r="K66" s="10" t="str">
        <f aca="false">IF(C66="","",IF(AND(A66&lt;&gt;"",B66&lt;&gt;""),"Completa","Incompleta"))</f>
        <v/>
      </c>
      <c r="L66" s="10" t="str">
        <f aca="false">IF(C66="","",IF(AND(D66&lt;&gt;"",E66&lt;&gt;"",F66&lt;&gt;"",G66&lt;&gt;"",H66&lt;&gt;""),"Completa","Incompleta"))</f>
        <v/>
      </c>
      <c r="M66" s="10" t="str">
        <f aca="false">IF(C66="","",IF(AND(K66="Completa",L66="Completa"),"Completa","Parcial"))</f>
        <v/>
      </c>
    </row>
    <row r="67" customFormat="false" ht="15" hidden="false" customHeight="false" outlineLevel="0" collapsed="false">
      <c r="A67" s="18"/>
      <c r="B67" s="10"/>
      <c r="C67" s="10"/>
      <c r="D67" s="10"/>
      <c r="E67" s="10"/>
      <c r="F67" s="10"/>
      <c r="G67" s="10"/>
      <c r="H67" s="5"/>
      <c r="I67" s="10"/>
      <c r="J67" s="10"/>
      <c r="K67" s="10" t="str">
        <f aca="false">IF(C67="","",IF(AND(A67&lt;&gt;"",B67&lt;&gt;""),"Completa","Incompleta"))</f>
        <v/>
      </c>
      <c r="L67" s="10" t="str">
        <f aca="false">IF(C67="","",IF(AND(D67&lt;&gt;"",E67&lt;&gt;"",F67&lt;&gt;"",G67&lt;&gt;"",H67&lt;&gt;""),"Completa","Incompleta"))</f>
        <v/>
      </c>
      <c r="M67" s="10" t="str">
        <f aca="false">IF(C67="","",IF(AND(K67="Completa",L67="Completa"),"Completa","Parcial"))</f>
        <v/>
      </c>
    </row>
    <row r="68" customFormat="false" ht="15" hidden="false" customHeight="false" outlineLevel="0" collapsed="false">
      <c r="A68" s="18"/>
      <c r="B68" s="10"/>
      <c r="C68" s="10"/>
      <c r="D68" s="10"/>
      <c r="E68" s="10"/>
      <c r="F68" s="10"/>
      <c r="G68" s="10"/>
      <c r="H68" s="5"/>
      <c r="I68" s="10"/>
      <c r="J68" s="10"/>
      <c r="K68" s="10" t="str">
        <f aca="false">IF(C68="","",IF(AND(A68&lt;&gt;"",B68&lt;&gt;""),"Completa","Incompleta"))</f>
        <v/>
      </c>
      <c r="L68" s="10" t="str">
        <f aca="false">IF(C68="","",IF(AND(D68&lt;&gt;"",E68&lt;&gt;"",F68&lt;&gt;"",G68&lt;&gt;"",H68&lt;&gt;""),"Completa","Incompleta"))</f>
        <v/>
      </c>
      <c r="M68" s="10" t="str">
        <f aca="false">IF(C68="","",IF(AND(K68="Completa",L68="Completa"),"Completa","Parcial"))</f>
        <v/>
      </c>
    </row>
    <row r="69" customFormat="false" ht="15" hidden="false" customHeight="false" outlineLevel="0" collapsed="false">
      <c r="A69" s="18"/>
      <c r="B69" s="10"/>
      <c r="C69" s="10"/>
      <c r="D69" s="10"/>
      <c r="E69" s="10"/>
      <c r="F69" s="10"/>
      <c r="G69" s="10"/>
      <c r="H69" s="5"/>
      <c r="I69" s="10"/>
      <c r="J69" s="10"/>
      <c r="K69" s="10" t="str">
        <f aca="false">IF(C69="","",IF(AND(A69&lt;&gt;"",B69&lt;&gt;""),"Completa","Incompleta"))</f>
        <v/>
      </c>
      <c r="L69" s="10" t="str">
        <f aca="false">IF(C69="","",IF(AND(D69&lt;&gt;"",E69&lt;&gt;"",F69&lt;&gt;"",G69&lt;&gt;"",H69&lt;&gt;""),"Completa","Incompleta"))</f>
        <v/>
      </c>
      <c r="M69" s="10" t="str">
        <f aca="false">IF(C69="","",IF(AND(K69="Completa",L69="Completa"),"Completa","Parcial"))</f>
        <v/>
      </c>
    </row>
    <row r="70" customFormat="false" ht="15" hidden="false" customHeight="false" outlineLevel="0" collapsed="false">
      <c r="A70" s="18"/>
      <c r="B70" s="10"/>
      <c r="C70" s="10"/>
      <c r="D70" s="10"/>
      <c r="E70" s="10"/>
      <c r="F70" s="10"/>
      <c r="G70" s="10"/>
      <c r="H70" s="5"/>
      <c r="I70" s="10"/>
      <c r="J70" s="10"/>
      <c r="K70" s="10" t="str">
        <f aca="false">IF(C70="","",IF(AND(A70&lt;&gt;"",B70&lt;&gt;""),"Completa","Incompleta"))</f>
        <v/>
      </c>
      <c r="L70" s="10" t="str">
        <f aca="false">IF(C70="","",IF(AND(D70&lt;&gt;"",E70&lt;&gt;"",F70&lt;&gt;"",G70&lt;&gt;"",H70&lt;&gt;""),"Completa","Incompleta"))</f>
        <v/>
      </c>
      <c r="M70" s="10" t="str">
        <f aca="false">IF(C70="","",IF(AND(K70="Completa",L70="Completa"),"Completa","Parcial"))</f>
        <v/>
      </c>
    </row>
    <row r="71" customFormat="false" ht="15" hidden="false" customHeight="false" outlineLevel="0" collapsed="false">
      <c r="A71" s="18"/>
      <c r="B71" s="10"/>
      <c r="C71" s="10"/>
      <c r="D71" s="10"/>
      <c r="E71" s="10"/>
      <c r="F71" s="10"/>
      <c r="G71" s="10"/>
      <c r="H71" s="5"/>
      <c r="I71" s="10"/>
      <c r="J71" s="10"/>
      <c r="K71" s="10" t="str">
        <f aca="false">IF(C71="","",IF(AND(A71&lt;&gt;"",B71&lt;&gt;""),"Completa","Incompleta"))</f>
        <v/>
      </c>
      <c r="L71" s="10" t="str">
        <f aca="false">IF(C71="","",IF(AND(D71&lt;&gt;"",E71&lt;&gt;"",F71&lt;&gt;"",G71&lt;&gt;"",H71&lt;&gt;""),"Completa","Incompleta"))</f>
        <v/>
      </c>
      <c r="M71" s="10" t="str">
        <f aca="false">IF(C71="","",IF(AND(K71="Completa",L71="Completa"),"Completa","Parcial"))</f>
        <v/>
      </c>
    </row>
    <row r="72" customFormat="false" ht="15" hidden="false" customHeight="false" outlineLevel="0" collapsed="false">
      <c r="A72" s="18"/>
      <c r="B72" s="10"/>
      <c r="C72" s="10"/>
      <c r="D72" s="10"/>
      <c r="E72" s="10"/>
      <c r="F72" s="10"/>
      <c r="G72" s="10"/>
      <c r="H72" s="5"/>
      <c r="I72" s="10"/>
      <c r="J72" s="10"/>
      <c r="K72" s="10" t="str">
        <f aca="false">IF(C72="","",IF(AND(A72&lt;&gt;"",B72&lt;&gt;""),"Completa","Incompleta"))</f>
        <v/>
      </c>
      <c r="L72" s="10" t="str">
        <f aca="false">IF(C72="","",IF(AND(D72&lt;&gt;"",E72&lt;&gt;"",F72&lt;&gt;"",G72&lt;&gt;"",H72&lt;&gt;""),"Completa","Incompleta"))</f>
        <v/>
      </c>
      <c r="M72" s="10" t="str">
        <f aca="false">IF(C72="","",IF(AND(K72="Completa",L72="Completa"),"Completa","Parcial"))</f>
        <v/>
      </c>
    </row>
    <row r="73" customFormat="false" ht="15" hidden="false" customHeight="false" outlineLevel="0" collapsed="false">
      <c r="A73" s="18"/>
      <c r="B73" s="10"/>
      <c r="C73" s="10"/>
      <c r="D73" s="10"/>
      <c r="E73" s="10"/>
      <c r="F73" s="10"/>
      <c r="G73" s="10"/>
      <c r="H73" s="5"/>
      <c r="I73" s="10"/>
      <c r="J73" s="10"/>
      <c r="K73" s="10" t="str">
        <f aca="false">IF(C73="","",IF(AND(A73&lt;&gt;"",B73&lt;&gt;""),"Completa","Incompleta"))</f>
        <v/>
      </c>
      <c r="L73" s="10" t="str">
        <f aca="false">IF(C73="","",IF(AND(D73&lt;&gt;"",E73&lt;&gt;"",F73&lt;&gt;"",G73&lt;&gt;"",H73&lt;&gt;""),"Completa","Incompleta"))</f>
        <v/>
      </c>
      <c r="M73" s="10" t="str">
        <f aca="false">IF(C73="","",IF(AND(K73="Completa",L73="Completa"),"Completa","Parcial"))</f>
        <v/>
      </c>
    </row>
    <row r="74" customFormat="false" ht="15" hidden="false" customHeight="false" outlineLevel="0" collapsed="false">
      <c r="A74" s="18"/>
      <c r="B74" s="10"/>
      <c r="C74" s="10"/>
      <c r="D74" s="10"/>
      <c r="E74" s="10"/>
      <c r="F74" s="10"/>
      <c r="G74" s="10"/>
      <c r="H74" s="5"/>
      <c r="I74" s="10"/>
      <c r="J74" s="10"/>
      <c r="K74" s="10" t="str">
        <f aca="false">IF(C74="","",IF(AND(A74&lt;&gt;"",B74&lt;&gt;""),"Completa","Incompleta"))</f>
        <v/>
      </c>
      <c r="L74" s="10" t="str">
        <f aca="false">IF(C74="","",IF(AND(D74&lt;&gt;"",E74&lt;&gt;"",F74&lt;&gt;"",G74&lt;&gt;"",H74&lt;&gt;""),"Completa","Incompleta"))</f>
        <v/>
      </c>
      <c r="M74" s="10" t="str">
        <f aca="false">IF(C74="","",IF(AND(K74="Completa",L74="Completa"),"Completa","Parcial"))</f>
        <v/>
      </c>
    </row>
    <row r="75" customFormat="false" ht="15" hidden="false" customHeight="false" outlineLevel="0" collapsed="false">
      <c r="A75" s="18"/>
      <c r="B75" s="10"/>
      <c r="C75" s="10"/>
      <c r="D75" s="10"/>
      <c r="E75" s="10"/>
      <c r="F75" s="10"/>
      <c r="G75" s="10"/>
      <c r="H75" s="5"/>
      <c r="I75" s="10"/>
      <c r="J75" s="10"/>
      <c r="K75" s="10" t="str">
        <f aca="false">IF(C75="","",IF(AND(A75&lt;&gt;"",B75&lt;&gt;""),"Completa","Incompleta"))</f>
        <v/>
      </c>
      <c r="L75" s="10" t="str">
        <f aca="false">IF(C75="","",IF(AND(D75&lt;&gt;"",E75&lt;&gt;"",F75&lt;&gt;"",G75&lt;&gt;"",H75&lt;&gt;""),"Completa","Incompleta"))</f>
        <v/>
      </c>
      <c r="M75" s="10" t="str">
        <f aca="false">IF(C75="","",IF(AND(K75="Completa",L75="Completa"),"Completa","Parcial"))</f>
        <v/>
      </c>
    </row>
    <row r="76" customFormat="false" ht="15" hidden="false" customHeight="false" outlineLevel="0" collapsed="false">
      <c r="A76" s="18"/>
      <c r="B76" s="10"/>
      <c r="C76" s="10"/>
      <c r="D76" s="10"/>
      <c r="E76" s="10"/>
      <c r="F76" s="10"/>
      <c r="G76" s="10"/>
      <c r="H76" s="5"/>
      <c r="I76" s="10"/>
      <c r="J76" s="10"/>
      <c r="K76" s="10" t="str">
        <f aca="false">IF(C76="","",IF(AND(A76&lt;&gt;"",B76&lt;&gt;""),"Completa","Incompleta"))</f>
        <v/>
      </c>
      <c r="L76" s="10" t="str">
        <f aca="false">IF(C76="","",IF(AND(D76&lt;&gt;"",E76&lt;&gt;"",F76&lt;&gt;"",G76&lt;&gt;"",H76&lt;&gt;""),"Completa","Incompleta"))</f>
        <v/>
      </c>
      <c r="M76" s="10" t="str">
        <f aca="false">IF(C76="","",IF(AND(K76="Completa",L76="Completa"),"Completa","Parcial"))</f>
        <v/>
      </c>
    </row>
    <row r="77" customFormat="false" ht="15" hidden="false" customHeight="false" outlineLevel="0" collapsed="false">
      <c r="A77" s="18"/>
      <c r="B77" s="10"/>
      <c r="C77" s="10"/>
      <c r="D77" s="10"/>
      <c r="E77" s="10"/>
      <c r="F77" s="10"/>
      <c r="G77" s="10"/>
      <c r="H77" s="5"/>
      <c r="I77" s="10"/>
      <c r="J77" s="10"/>
      <c r="K77" s="10" t="str">
        <f aca="false">IF(C77="","",IF(AND(A77&lt;&gt;"",B77&lt;&gt;""),"Completa","Incompleta"))</f>
        <v/>
      </c>
      <c r="L77" s="10" t="str">
        <f aca="false">IF(C77="","",IF(AND(D77&lt;&gt;"",E77&lt;&gt;"",F77&lt;&gt;"",G77&lt;&gt;"",H77&lt;&gt;""),"Completa","Incompleta"))</f>
        <v/>
      </c>
      <c r="M77" s="10" t="str">
        <f aca="false">IF(C77="","",IF(AND(K77="Completa",L77="Completa"),"Completa","Parcial"))</f>
        <v/>
      </c>
    </row>
    <row r="78" customFormat="false" ht="15" hidden="false" customHeight="false" outlineLevel="0" collapsed="false">
      <c r="A78" s="18"/>
      <c r="B78" s="10"/>
      <c r="C78" s="10"/>
      <c r="D78" s="10"/>
      <c r="E78" s="10"/>
      <c r="F78" s="10"/>
      <c r="G78" s="10"/>
      <c r="H78" s="5"/>
      <c r="I78" s="10"/>
      <c r="J78" s="10"/>
      <c r="K78" s="10" t="str">
        <f aca="false">IF(C78="","",IF(AND(A78&lt;&gt;"",B78&lt;&gt;""),"Completa","Incompleta"))</f>
        <v/>
      </c>
      <c r="L78" s="10" t="str">
        <f aca="false">IF(C78="","",IF(AND(D78&lt;&gt;"",E78&lt;&gt;"",F78&lt;&gt;"",G78&lt;&gt;"",H78&lt;&gt;""),"Completa","Incompleta"))</f>
        <v/>
      </c>
      <c r="M78" s="10" t="str">
        <f aca="false">IF(C78="","",IF(AND(K78="Completa",L78="Completa"),"Completa","Parcial"))</f>
        <v/>
      </c>
    </row>
    <row r="79" customFormat="false" ht="15" hidden="false" customHeight="false" outlineLevel="0" collapsed="false">
      <c r="A79" s="18"/>
      <c r="B79" s="10"/>
      <c r="C79" s="10"/>
      <c r="D79" s="10"/>
      <c r="E79" s="10"/>
      <c r="F79" s="10"/>
      <c r="G79" s="10"/>
      <c r="H79" s="5"/>
      <c r="I79" s="10"/>
      <c r="J79" s="10"/>
      <c r="K79" s="10" t="str">
        <f aca="false">IF(C79="","",IF(AND(A79&lt;&gt;"",B79&lt;&gt;""),"Completa","Incompleta"))</f>
        <v/>
      </c>
      <c r="L79" s="10" t="str">
        <f aca="false">IF(C79="","",IF(AND(D79&lt;&gt;"",E79&lt;&gt;"",F79&lt;&gt;"",G79&lt;&gt;"",H79&lt;&gt;""),"Completa","Incompleta"))</f>
        <v/>
      </c>
      <c r="M79" s="10" t="str">
        <f aca="false">IF(C79="","",IF(AND(K79="Completa",L79="Completa"),"Completa","Parcial"))</f>
        <v/>
      </c>
    </row>
    <row r="80" customFormat="false" ht="15" hidden="false" customHeight="false" outlineLevel="0" collapsed="false">
      <c r="A80" s="18"/>
      <c r="B80" s="10"/>
      <c r="C80" s="10"/>
      <c r="D80" s="10"/>
      <c r="E80" s="10"/>
      <c r="F80" s="10"/>
      <c r="G80" s="10"/>
      <c r="H80" s="5"/>
      <c r="I80" s="10"/>
      <c r="J80" s="10"/>
      <c r="K80" s="10" t="str">
        <f aca="false">IF(C80="","",IF(AND(A80&lt;&gt;"",B80&lt;&gt;""),"Completa","Incompleta"))</f>
        <v/>
      </c>
      <c r="L80" s="10" t="str">
        <f aca="false">IF(C80="","",IF(AND(D80&lt;&gt;"",E80&lt;&gt;"",F80&lt;&gt;"",G80&lt;&gt;"",H80&lt;&gt;""),"Completa","Incompleta"))</f>
        <v/>
      </c>
      <c r="M80" s="10" t="str">
        <f aca="false">IF(C80="","",IF(AND(K80="Completa",L80="Completa"),"Completa","Parcial"))</f>
        <v/>
      </c>
    </row>
    <row r="81" customFormat="false" ht="15" hidden="false" customHeight="false" outlineLevel="0" collapsed="false">
      <c r="A81" s="18"/>
      <c r="B81" s="10"/>
      <c r="C81" s="10"/>
      <c r="D81" s="10"/>
      <c r="E81" s="10"/>
      <c r="F81" s="10"/>
      <c r="G81" s="10"/>
      <c r="H81" s="5"/>
      <c r="I81" s="10"/>
      <c r="J81" s="10"/>
      <c r="K81" s="10" t="str">
        <f aca="false">IF(C81="","",IF(AND(A81&lt;&gt;"",B81&lt;&gt;""),"Completa","Incompleta"))</f>
        <v/>
      </c>
      <c r="L81" s="10" t="str">
        <f aca="false">IF(C81="","",IF(AND(D81&lt;&gt;"",E81&lt;&gt;"",F81&lt;&gt;"",G81&lt;&gt;"",H81&lt;&gt;""),"Completa","Incompleta"))</f>
        <v/>
      </c>
      <c r="M81" s="10" t="str">
        <f aca="false">IF(C81="","",IF(AND(K81="Completa",L81="Completa"),"Completa","Parcial"))</f>
        <v/>
      </c>
    </row>
    <row r="82" customFormat="false" ht="15" hidden="false" customHeight="false" outlineLevel="0" collapsed="false">
      <c r="A82" s="18"/>
      <c r="B82" s="10"/>
      <c r="C82" s="10"/>
      <c r="D82" s="10"/>
      <c r="E82" s="10"/>
      <c r="F82" s="10"/>
      <c r="G82" s="10"/>
      <c r="H82" s="5"/>
      <c r="I82" s="10"/>
      <c r="J82" s="10"/>
      <c r="K82" s="10" t="str">
        <f aca="false">IF(C82="","",IF(AND(A82&lt;&gt;"",B82&lt;&gt;""),"Completa","Incompleta"))</f>
        <v/>
      </c>
      <c r="L82" s="10" t="str">
        <f aca="false">IF(C82="","",IF(AND(D82&lt;&gt;"",E82&lt;&gt;"",F82&lt;&gt;"",G82&lt;&gt;"",H82&lt;&gt;""),"Completa","Incompleta"))</f>
        <v/>
      </c>
      <c r="M82" s="10" t="str">
        <f aca="false">IF(C82="","",IF(AND(K82="Completa",L82="Completa"),"Completa","Parcial"))</f>
        <v/>
      </c>
    </row>
    <row r="83" customFormat="false" ht="15" hidden="false" customHeight="false" outlineLevel="0" collapsed="false">
      <c r="A83" s="18"/>
      <c r="B83" s="10"/>
      <c r="C83" s="10"/>
      <c r="D83" s="10"/>
      <c r="E83" s="10"/>
      <c r="F83" s="10"/>
      <c r="G83" s="10"/>
      <c r="H83" s="5"/>
      <c r="I83" s="10"/>
      <c r="J83" s="10"/>
      <c r="K83" s="10" t="str">
        <f aca="false">IF(C83="","",IF(AND(A83&lt;&gt;"",B83&lt;&gt;""),"Completa","Incompleta"))</f>
        <v/>
      </c>
      <c r="L83" s="10" t="str">
        <f aca="false">IF(C83="","",IF(AND(D83&lt;&gt;"",E83&lt;&gt;"",F83&lt;&gt;"",G83&lt;&gt;"",H83&lt;&gt;""),"Completa","Incompleta"))</f>
        <v/>
      </c>
      <c r="M83" s="10" t="str">
        <f aca="false">IF(C83="","",IF(AND(K83="Completa",L83="Completa"),"Completa","Parcial"))</f>
        <v/>
      </c>
    </row>
    <row r="84" customFormat="false" ht="15" hidden="false" customHeight="false" outlineLevel="0" collapsed="false">
      <c r="A84" s="18"/>
      <c r="B84" s="10"/>
      <c r="C84" s="10"/>
      <c r="D84" s="10"/>
      <c r="E84" s="10"/>
      <c r="F84" s="10"/>
      <c r="G84" s="10"/>
      <c r="H84" s="5"/>
      <c r="I84" s="10"/>
      <c r="J84" s="10"/>
      <c r="K84" s="10" t="str">
        <f aca="false">IF(C84="","",IF(AND(A84&lt;&gt;"",B84&lt;&gt;""),"Completa","Incompleta"))</f>
        <v/>
      </c>
      <c r="L84" s="10" t="str">
        <f aca="false">IF(C84="","",IF(AND(D84&lt;&gt;"",E84&lt;&gt;"",F84&lt;&gt;"",G84&lt;&gt;"",H84&lt;&gt;""),"Completa","Incompleta"))</f>
        <v/>
      </c>
      <c r="M84" s="10" t="str">
        <f aca="false">IF(C84="","",IF(AND(K84="Completa",L84="Completa"),"Completa","Parcial"))</f>
        <v/>
      </c>
    </row>
    <row r="85" customFormat="false" ht="15" hidden="false" customHeight="false" outlineLevel="0" collapsed="false">
      <c r="A85" s="18"/>
      <c r="B85" s="10"/>
      <c r="C85" s="10"/>
      <c r="D85" s="10"/>
      <c r="E85" s="10"/>
      <c r="F85" s="10"/>
      <c r="G85" s="10"/>
      <c r="H85" s="5"/>
      <c r="I85" s="10"/>
      <c r="J85" s="10"/>
      <c r="K85" s="10" t="str">
        <f aca="false">IF(C85="","",IF(AND(A85&lt;&gt;"",B85&lt;&gt;""),"Completa","Incompleta"))</f>
        <v/>
      </c>
      <c r="L85" s="10" t="str">
        <f aca="false">IF(C85="","",IF(AND(D85&lt;&gt;"",E85&lt;&gt;"",F85&lt;&gt;"",G85&lt;&gt;"",H85&lt;&gt;""),"Completa","Incompleta"))</f>
        <v/>
      </c>
      <c r="M85" s="10" t="str">
        <f aca="false">IF(C85="","",IF(AND(K85="Completa",L85="Completa"),"Completa","Parcial"))</f>
        <v/>
      </c>
    </row>
    <row r="86" customFormat="false" ht="15" hidden="false" customHeight="false" outlineLevel="0" collapsed="false">
      <c r="A86" s="18"/>
      <c r="B86" s="10"/>
      <c r="C86" s="10"/>
      <c r="D86" s="10"/>
      <c r="E86" s="10"/>
      <c r="F86" s="10"/>
      <c r="G86" s="10"/>
      <c r="H86" s="5"/>
      <c r="I86" s="10"/>
      <c r="J86" s="10"/>
      <c r="K86" s="10" t="str">
        <f aca="false">IF(C86="","",IF(AND(A86&lt;&gt;"",B86&lt;&gt;""),"Completa","Incompleta"))</f>
        <v/>
      </c>
      <c r="L86" s="10" t="str">
        <f aca="false">IF(C86="","",IF(AND(D86&lt;&gt;"",E86&lt;&gt;"",F86&lt;&gt;"",G86&lt;&gt;"",H86&lt;&gt;""),"Completa","Incompleta"))</f>
        <v/>
      </c>
      <c r="M86" s="10" t="str">
        <f aca="false">IF(C86="","",IF(AND(K86="Completa",L86="Completa"),"Completa","Parcial"))</f>
        <v/>
      </c>
    </row>
    <row r="87" customFormat="false" ht="15" hidden="false" customHeight="false" outlineLevel="0" collapsed="false">
      <c r="A87" s="18"/>
      <c r="B87" s="10"/>
      <c r="C87" s="10"/>
      <c r="D87" s="10"/>
      <c r="E87" s="10"/>
      <c r="F87" s="10"/>
      <c r="G87" s="10"/>
      <c r="H87" s="5"/>
      <c r="I87" s="10"/>
      <c r="J87" s="10"/>
      <c r="K87" s="10" t="str">
        <f aca="false">IF(C87="","",IF(AND(A87&lt;&gt;"",B87&lt;&gt;""),"Completa","Incompleta"))</f>
        <v/>
      </c>
      <c r="L87" s="10" t="str">
        <f aca="false">IF(C87="","",IF(AND(D87&lt;&gt;"",E87&lt;&gt;"",F87&lt;&gt;"",G87&lt;&gt;"",H87&lt;&gt;""),"Completa","Incompleta"))</f>
        <v/>
      </c>
      <c r="M87" s="10" t="str">
        <f aca="false">IF(C87="","",IF(AND(K87="Completa",L87="Completa"),"Completa","Parcial"))</f>
        <v/>
      </c>
    </row>
    <row r="88" customFormat="false" ht="15" hidden="false" customHeight="false" outlineLevel="0" collapsed="false">
      <c r="A88" s="18"/>
      <c r="B88" s="10"/>
      <c r="C88" s="10"/>
      <c r="D88" s="10"/>
      <c r="E88" s="10"/>
      <c r="F88" s="10"/>
      <c r="G88" s="10"/>
      <c r="H88" s="5"/>
      <c r="I88" s="10"/>
      <c r="J88" s="10"/>
      <c r="K88" s="10" t="str">
        <f aca="false">IF(C88="","",IF(AND(A88&lt;&gt;"",B88&lt;&gt;""),"Completa","Incompleta"))</f>
        <v/>
      </c>
      <c r="L88" s="10" t="str">
        <f aca="false">IF(C88="","",IF(AND(D88&lt;&gt;"",E88&lt;&gt;"",F88&lt;&gt;"",G88&lt;&gt;"",H88&lt;&gt;""),"Completa","Incompleta"))</f>
        <v/>
      </c>
      <c r="M88" s="10" t="str">
        <f aca="false">IF(C88="","",IF(AND(K88="Completa",L88="Completa"),"Completa","Parcial"))</f>
        <v/>
      </c>
    </row>
    <row r="89" customFormat="false" ht="15" hidden="false" customHeight="false" outlineLevel="0" collapsed="false">
      <c r="A89" s="18"/>
      <c r="B89" s="10"/>
      <c r="C89" s="10"/>
      <c r="D89" s="10"/>
      <c r="E89" s="10"/>
      <c r="F89" s="10"/>
      <c r="G89" s="10"/>
      <c r="H89" s="5"/>
      <c r="I89" s="10"/>
      <c r="J89" s="10"/>
      <c r="K89" s="10" t="str">
        <f aca="false">IF(C89="","",IF(AND(A89&lt;&gt;"",B89&lt;&gt;""),"Completa","Incompleta"))</f>
        <v/>
      </c>
      <c r="L89" s="10" t="str">
        <f aca="false">IF(C89="","",IF(AND(D89&lt;&gt;"",E89&lt;&gt;"",F89&lt;&gt;"",G89&lt;&gt;"",H89&lt;&gt;""),"Completa","Incompleta"))</f>
        <v/>
      </c>
      <c r="M89" s="10" t="str">
        <f aca="false">IF(C89="","",IF(AND(K89="Completa",L89="Completa"),"Completa","Parcial"))</f>
        <v/>
      </c>
    </row>
    <row r="90" customFormat="false" ht="15" hidden="false" customHeight="false" outlineLevel="0" collapsed="false">
      <c r="A90" s="18"/>
      <c r="B90" s="10"/>
      <c r="C90" s="10"/>
      <c r="D90" s="10"/>
      <c r="E90" s="10"/>
      <c r="F90" s="10"/>
      <c r="G90" s="10"/>
      <c r="H90" s="5"/>
      <c r="I90" s="10"/>
      <c r="J90" s="10"/>
      <c r="K90" s="10" t="str">
        <f aca="false">IF(C90="","",IF(AND(A90&lt;&gt;"",B90&lt;&gt;""),"Completa","Incompleta"))</f>
        <v/>
      </c>
      <c r="L90" s="10" t="str">
        <f aca="false">IF(C90="","",IF(AND(D90&lt;&gt;"",E90&lt;&gt;"",F90&lt;&gt;"",G90&lt;&gt;"",H90&lt;&gt;""),"Completa","Incompleta"))</f>
        <v/>
      </c>
      <c r="M90" s="10" t="str">
        <f aca="false">IF(C90="","",IF(AND(K90="Completa",L90="Completa"),"Completa","Parcial"))</f>
        <v/>
      </c>
    </row>
    <row r="91" customFormat="false" ht="15" hidden="false" customHeight="false" outlineLevel="0" collapsed="false">
      <c r="A91" s="18"/>
      <c r="B91" s="10"/>
      <c r="C91" s="10"/>
      <c r="D91" s="10"/>
      <c r="E91" s="10"/>
      <c r="F91" s="10"/>
      <c r="G91" s="10"/>
      <c r="H91" s="5"/>
      <c r="I91" s="10"/>
      <c r="J91" s="10"/>
      <c r="K91" s="10" t="str">
        <f aca="false">IF(C91="","",IF(AND(A91&lt;&gt;"",B91&lt;&gt;""),"Completa","Incompleta"))</f>
        <v/>
      </c>
      <c r="L91" s="10" t="str">
        <f aca="false">IF(C91="","",IF(AND(D91&lt;&gt;"",E91&lt;&gt;"",F91&lt;&gt;"",G91&lt;&gt;"",H91&lt;&gt;""),"Completa","Incompleta"))</f>
        <v/>
      </c>
      <c r="M91" s="10" t="str">
        <f aca="false">IF(C91="","",IF(AND(K91="Completa",L91="Completa"),"Completa","Parcial"))</f>
        <v/>
      </c>
    </row>
    <row r="92" customFormat="false" ht="15" hidden="false" customHeight="false" outlineLevel="0" collapsed="false">
      <c r="A92" s="18"/>
      <c r="B92" s="10"/>
      <c r="C92" s="10"/>
      <c r="D92" s="10"/>
      <c r="E92" s="10"/>
      <c r="F92" s="10"/>
      <c r="G92" s="10"/>
      <c r="H92" s="5"/>
      <c r="I92" s="10"/>
      <c r="J92" s="10"/>
      <c r="K92" s="10" t="str">
        <f aca="false">IF(C92="","",IF(AND(A92&lt;&gt;"",B92&lt;&gt;""),"Completa","Incompleta"))</f>
        <v/>
      </c>
      <c r="L92" s="10" t="str">
        <f aca="false">IF(C92="","",IF(AND(D92&lt;&gt;"",E92&lt;&gt;"",F92&lt;&gt;"",G92&lt;&gt;"",H92&lt;&gt;""),"Completa","Incompleta"))</f>
        <v/>
      </c>
      <c r="M92" s="10" t="str">
        <f aca="false">IF(C92="","",IF(AND(K92="Completa",L92="Completa"),"Completa","Parcial"))</f>
        <v/>
      </c>
    </row>
    <row r="93" customFormat="false" ht="15" hidden="false" customHeight="false" outlineLevel="0" collapsed="false">
      <c r="A93" s="18"/>
      <c r="B93" s="10"/>
      <c r="C93" s="10"/>
      <c r="D93" s="10"/>
      <c r="E93" s="10"/>
      <c r="F93" s="10"/>
      <c r="G93" s="10"/>
      <c r="H93" s="5"/>
      <c r="I93" s="10"/>
      <c r="J93" s="10"/>
      <c r="K93" s="10" t="str">
        <f aca="false">IF(C93="","",IF(AND(A93&lt;&gt;"",B93&lt;&gt;""),"Completa","Incompleta"))</f>
        <v/>
      </c>
      <c r="L93" s="10" t="str">
        <f aca="false">IF(C93="","",IF(AND(D93&lt;&gt;"",E93&lt;&gt;"",F93&lt;&gt;"",G93&lt;&gt;"",H93&lt;&gt;""),"Completa","Incompleta"))</f>
        <v/>
      </c>
      <c r="M93" s="10" t="str">
        <f aca="false">IF(C93="","",IF(AND(K93="Completa",L93="Completa"),"Completa","Parcial"))</f>
        <v/>
      </c>
    </row>
    <row r="94" customFormat="false" ht="15" hidden="false" customHeight="false" outlineLevel="0" collapsed="false">
      <c r="A94" s="18"/>
      <c r="B94" s="10"/>
      <c r="C94" s="10"/>
      <c r="D94" s="10"/>
      <c r="E94" s="10"/>
      <c r="F94" s="10"/>
      <c r="G94" s="10"/>
      <c r="H94" s="5"/>
      <c r="I94" s="10"/>
      <c r="J94" s="10"/>
      <c r="K94" s="10" t="str">
        <f aca="false">IF(C94="","",IF(AND(A94&lt;&gt;"",B94&lt;&gt;""),"Completa","Incompleta"))</f>
        <v/>
      </c>
      <c r="L94" s="10" t="str">
        <f aca="false">IF(C94="","",IF(AND(D94&lt;&gt;"",E94&lt;&gt;"",F94&lt;&gt;"",G94&lt;&gt;"",H94&lt;&gt;""),"Completa","Incompleta"))</f>
        <v/>
      </c>
      <c r="M94" s="10" t="str">
        <f aca="false">IF(C94="","",IF(AND(K94="Completa",L94="Completa"),"Completa","Parcial"))</f>
        <v/>
      </c>
    </row>
    <row r="95" customFormat="false" ht="15" hidden="false" customHeight="false" outlineLevel="0" collapsed="false">
      <c r="A95" s="18"/>
      <c r="B95" s="10"/>
      <c r="C95" s="10"/>
      <c r="D95" s="10"/>
      <c r="E95" s="10"/>
      <c r="F95" s="10"/>
      <c r="G95" s="10"/>
      <c r="H95" s="5"/>
      <c r="I95" s="10"/>
      <c r="J95" s="10"/>
      <c r="K95" s="10" t="str">
        <f aca="false">IF(C95="","",IF(AND(A95&lt;&gt;"",B95&lt;&gt;""),"Completa","Incompleta"))</f>
        <v/>
      </c>
      <c r="L95" s="10" t="str">
        <f aca="false">IF(C95="","",IF(AND(D95&lt;&gt;"",E95&lt;&gt;"",F95&lt;&gt;"",G95&lt;&gt;"",H95&lt;&gt;""),"Completa","Incompleta"))</f>
        <v/>
      </c>
      <c r="M95" s="10" t="str">
        <f aca="false">IF(C95="","",IF(AND(K95="Completa",L95="Completa"),"Completa","Parcial"))</f>
        <v/>
      </c>
    </row>
    <row r="96" customFormat="false" ht="15" hidden="false" customHeight="false" outlineLevel="0" collapsed="false">
      <c r="A96" s="18"/>
      <c r="B96" s="10"/>
      <c r="C96" s="10"/>
      <c r="D96" s="10"/>
      <c r="E96" s="10"/>
      <c r="F96" s="10"/>
      <c r="G96" s="10"/>
      <c r="H96" s="5"/>
      <c r="I96" s="10"/>
      <c r="J96" s="10"/>
      <c r="K96" s="10" t="str">
        <f aca="false">IF(C96="","",IF(AND(A96&lt;&gt;"",B96&lt;&gt;""),"Completa","Incompleta"))</f>
        <v/>
      </c>
      <c r="L96" s="10" t="str">
        <f aca="false">IF(C96="","",IF(AND(D96&lt;&gt;"",E96&lt;&gt;"",F96&lt;&gt;"",G96&lt;&gt;"",H96&lt;&gt;""),"Completa","Incompleta"))</f>
        <v/>
      </c>
      <c r="M96" s="10" t="str">
        <f aca="false">IF(C96="","",IF(AND(K96="Completa",L96="Completa"),"Completa","Parcial"))</f>
        <v/>
      </c>
    </row>
    <row r="97" customFormat="false" ht="15" hidden="false" customHeight="false" outlineLevel="0" collapsed="false">
      <c r="A97" s="18"/>
      <c r="B97" s="10"/>
      <c r="C97" s="10"/>
      <c r="D97" s="10"/>
      <c r="E97" s="10"/>
      <c r="F97" s="10"/>
      <c r="G97" s="10"/>
      <c r="H97" s="5"/>
      <c r="I97" s="10"/>
      <c r="J97" s="10"/>
      <c r="K97" s="10" t="str">
        <f aca="false">IF(C97="","",IF(AND(A97&lt;&gt;"",B97&lt;&gt;""),"Completa","Incompleta"))</f>
        <v/>
      </c>
      <c r="L97" s="10" t="str">
        <f aca="false">IF(C97="","",IF(AND(D97&lt;&gt;"",E97&lt;&gt;"",F97&lt;&gt;"",G97&lt;&gt;"",H97&lt;&gt;""),"Completa","Incompleta"))</f>
        <v/>
      </c>
      <c r="M97" s="10" t="str">
        <f aca="false">IF(C97="","",IF(AND(K97="Completa",L97="Completa"),"Completa","Parcial"))</f>
        <v/>
      </c>
    </row>
    <row r="98" customFormat="false" ht="15" hidden="false" customHeight="false" outlineLevel="0" collapsed="false">
      <c r="A98" s="18"/>
      <c r="B98" s="10"/>
      <c r="C98" s="10"/>
      <c r="D98" s="10"/>
      <c r="E98" s="10"/>
      <c r="F98" s="10"/>
      <c r="G98" s="10"/>
      <c r="H98" s="5"/>
      <c r="I98" s="10"/>
      <c r="J98" s="10"/>
      <c r="K98" s="10" t="str">
        <f aca="false">IF(C98="","",IF(AND(A98&lt;&gt;"",B98&lt;&gt;""),"Completa","Incompleta"))</f>
        <v/>
      </c>
      <c r="L98" s="10" t="str">
        <f aca="false">IF(C98="","",IF(AND(D98&lt;&gt;"",E98&lt;&gt;"",F98&lt;&gt;"",G98&lt;&gt;"",H98&lt;&gt;""),"Completa","Incompleta"))</f>
        <v/>
      </c>
      <c r="M98" s="10" t="str">
        <f aca="false">IF(C98="","",IF(AND(K98="Completa",L98="Completa"),"Completa","Parcial"))</f>
        <v/>
      </c>
    </row>
    <row r="99" customFormat="false" ht="15" hidden="false" customHeight="false" outlineLevel="0" collapsed="false">
      <c r="A99" s="18"/>
      <c r="B99" s="10"/>
      <c r="C99" s="10"/>
      <c r="D99" s="10"/>
      <c r="E99" s="10"/>
      <c r="F99" s="10"/>
      <c r="G99" s="10"/>
      <c r="H99" s="5"/>
      <c r="I99" s="10"/>
      <c r="J99" s="10"/>
      <c r="K99" s="10" t="str">
        <f aca="false">IF(C99="","",IF(AND(A99&lt;&gt;"",B99&lt;&gt;""),"Completa","Incompleta"))</f>
        <v/>
      </c>
      <c r="L99" s="10" t="str">
        <f aca="false">IF(C99="","",IF(AND(D99&lt;&gt;"",E99&lt;&gt;"",F99&lt;&gt;"",G99&lt;&gt;"",H99&lt;&gt;""),"Completa","Incompleta"))</f>
        <v/>
      </c>
      <c r="M99" s="10" t="str">
        <f aca="false">IF(C99="","",IF(AND(K99="Completa",L99="Completa"),"Completa","Parcial"))</f>
        <v/>
      </c>
    </row>
    <row r="100" customFormat="false" ht="15" hidden="false" customHeight="false" outlineLevel="0" collapsed="false">
      <c r="A100" s="18"/>
      <c r="B100" s="10"/>
      <c r="C100" s="10"/>
      <c r="D100" s="10"/>
      <c r="E100" s="10"/>
      <c r="F100" s="10"/>
      <c r="G100" s="10"/>
      <c r="H100" s="5"/>
      <c r="I100" s="10"/>
      <c r="J100" s="10"/>
      <c r="K100" s="10" t="str">
        <f aca="false">IF(C100="","",IF(AND(A100&lt;&gt;"",B100&lt;&gt;""),"Completa","Incompleta"))</f>
        <v/>
      </c>
      <c r="L100" s="10" t="str">
        <f aca="false">IF(C100="","",IF(AND(D100&lt;&gt;"",E100&lt;&gt;"",F100&lt;&gt;"",G100&lt;&gt;"",H100&lt;&gt;""),"Completa","Incompleta"))</f>
        <v/>
      </c>
      <c r="M100" s="10" t="str">
        <f aca="false">IF(C100="","",IF(AND(K100="Completa",L100="Completa"),"Completa","Parcial"))</f>
        <v/>
      </c>
    </row>
    <row r="101" customFormat="false" ht="15" hidden="false" customHeight="false" outlineLevel="0" collapsed="false">
      <c r="A101" s="18"/>
      <c r="B101" s="10"/>
      <c r="C101" s="10"/>
      <c r="D101" s="10"/>
      <c r="E101" s="10"/>
      <c r="F101" s="10"/>
      <c r="G101" s="10"/>
      <c r="H101" s="5"/>
      <c r="I101" s="10"/>
      <c r="J101" s="10"/>
      <c r="K101" s="10" t="str">
        <f aca="false">IF(C101="","",IF(AND(A101&lt;&gt;"",B101&lt;&gt;""),"Completa","Incompleta"))</f>
        <v/>
      </c>
      <c r="L101" s="10" t="str">
        <f aca="false">IF(C101="","",IF(AND(D101&lt;&gt;"",E101&lt;&gt;"",F101&lt;&gt;"",G101&lt;&gt;"",H101&lt;&gt;""),"Completa","Incompleta"))</f>
        <v/>
      </c>
      <c r="M101" s="10" t="str">
        <f aca="false">IF(C101="","",IF(AND(K101="Completa",L101="Completa"),"Completa","Parcial"))</f>
        <v/>
      </c>
    </row>
    <row r="102" customFormat="false" ht="15" hidden="false" customHeight="false" outlineLevel="0" collapsed="false">
      <c r="A102" s="18"/>
      <c r="B102" s="10"/>
      <c r="C102" s="10"/>
      <c r="D102" s="10"/>
      <c r="E102" s="10"/>
      <c r="F102" s="10"/>
      <c r="G102" s="10"/>
      <c r="H102" s="5"/>
      <c r="I102" s="10"/>
      <c r="J102" s="10"/>
      <c r="K102" s="10" t="str">
        <f aca="false">IF(C102="","",IF(AND(A102&lt;&gt;"",B102&lt;&gt;""),"Completa","Incompleta"))</f>
        <v/>
      </c>
      <c r="L102" s="10" t="str">
        <f aca="false">IF(C102="","",IF(AND(D102&lt;&gt;"",E102&lt;&gt;"",F102&lt;&gt;"",G102&lt;&gt;"",H102&lt;&gt;""),"Completa","Incompleta"))</f>
        <v/>
      </c>
      <c r="M102" s="10" t="str">
        <f aca="false">IF(C102="","",IF(AND(K102="Completa",L102="Completa"),"Completa","Parcial"))</f>
        <v/>
      </c>
    </row>
    <row r="103" customFormat="false" ht="15" hidden="false" customHeight="false" outlineLevel="0" collapsed="false">
      <c r="A103" s="18"/>
      <c r="B103" s="10"/>
      <c r="C103" s="10"/>
      <c r="D103" s="10"/>
      <c r="E103" s="10"/>
      <c r="F103" s="10"/>
      <c r="G103" s="10"/>
      <c r="H103" s="5"/>
      <c r="I103" s="10"/>
      <c r="J103" s="10"/>
      <c r="K103" s="10" t="str">
        <f aca="false">IF(C103="","",IF(AND(A103&lt;&gt;"",B103&lt;&gt;""),"Completa","Incompleta"))</f>
        <v/>
      </c>
      <c r="L103" s="10" t="str">
        <f aca="false">IF(C103="","",IF(AND(D103&lt;&gt;"",E103&lt;&gt;"",F103&lt;&gt;"",G103&lt;&gt;"",H103&lt;&gt;""),"Completa","Incompleta"))</f>
        <v/>
      </c>
      <c r="M103" s="10" t="str">
        <f aca="false">IF(C103="","",IF(AND(K103="Completa",L103="Completa"),"Completa","Parcial"))</f>
        <v/>
      </c>
    </row>
    <row r="104" customFormat="false" ht="15" hidden="false" customHeight="false" outlineLevel="0" collapsed="false">
      <c r="A104" s="18"/>
      <c r="B104" s="10"/>
      <c r="C104" s="10"/>
      <c r="D104" s="10"/>
      <c r="E104" s="10"/>
      <c r="F104" s="10"/>
      <c r="G104" s="10"/>
      <c r="H104" s="5"/>
      <c r="I104" s="10"/>
      <c r="J104" s="10"/>
      <c r="K104" s="10" t="str">
        <f aca="false">IF(C104="","",IF(AND(A104&lt;&gt;"",B104&lt;&gt;""),"Completa","Incompleta"))</f>
        <v/>
      </c>
      <c r="L104" s="10" t="str">
        <f aca="false">IF(C104="","",IF(AND(D104&lt;&gt;"",E104&lt;&gt;"",F104&lt;&gt;"",G104&lt;&gt;"",H104&lt;&gt;""),"Completa","Incompleta"))</f>
        <v/>
      </c>
      <c r="M104" s="10" t="str">
        <f aca="false">IF(C104="","",IF(AND(K104="Completa",L104="Completa"),"Completa","Parcial"))</f>
        <v/>
      </c>
    </row>
    <row r="105" customFormat="false" ht="15" hidden="false" customHeight="false" outlineLevel="0" collapsed="false">
      <c r="A105" s="18"/>
      <c r="B105" s="10"/>
      <c r="C105" s="10"/>
      <c r="D105" s="10"/>
      <c r="E105" s="10"/>
      <c r="F105" s="10"/>
      <c r="G105" s="10"/>
      <c r="H105" s="5"/>
      <c r="I105" s="10"/>
      <c r="J105" s="10"/>
      <c r="K105" s="10" t="str">
        <f aca="false">IF(C105="","",IF(AND(A105&lt;&gt;"",B105&lt;&gt;""),"Completa","Incompleta"))</f>
        <v/>
      </c>
      <c r="L105" s="10" t="str">
        <f aca="false">IF(C105="","",IF(AND(D105&lt;&gt;"",E105&lt;&gt;"",F105&lt;&gt;"",G105&lt;&gt;"",H105&lt;&gt;""),"Completa","Incompleta"))</f>
        <v/>
      </c>
      <c r="M105" s="10" t="str">
        <f aca="false">IF(C105="","",IF(AND(K105="Completa",L105="Completa"),"Completa","Parcial"))</f>
        <v/>
      </c>
    </row>
    <row r="106" customFormat="false" ht="15" hidden="false" customHeight="false" outlineLevel="0" collapsed="false">
      <c r="A106" s="18"/>
      <c r="B106" s="10"/>
      <c r="C106" s="10"/>
      <c r="D106" s="10"/>
      <c r="E106" s="10"/>
      <c r="F106" s="10"/>
      <c r="G106" s="10"/>
      <c r="H106" s="5"/>
      <c r="I106" s="10"/>
      <c r="J106" s="10"/>
      <c r="K106" s="10" t="str">
        <f aca="false">IF(C106="","",IF(AND(A106&lt;&gt;"",B106&lt;&gt;""),"Completa","Incompleta"))</f>
        <v/>
      </c>
      <c r="L106" s="10" t="str">
        <f aca="false">IF(C106="","",IF(AND(D106&lt;&gt;"",E106&lt;&gt;"",F106&lt;&gt;"",G106&lt;&gt;"",H106&lt;&gt;""),"Completa","Incompleta"))</f>
        <v/>
      </c>
      <c r="M106" s="10" t="str">
        <f aca="false">IF(C106="","",IF(AND(K106="Completa",L106="Completa"),"Completa","Parcial"))</f>
        <v/>
      </c>
    </row>
    <row r="107" customFormat="false" ht="15" hidden="false" customHeight="false" outlineLevel="0" collapsed="false">
      <c r="A107" s="18"/>
      <c r="B107" s="10"/>
      <c r="C107" s="10"/>
      <c r="D107" s="10"/>
      <c r="E107" s="10"/>
      <c r="F107" s="10"/>
      <c r="G107" s="10"/>
      <c r="H107" s="5"/>
      <c r="I107" s="10"/>
      <c r="J107" s="10"/>
      <c r="K107" s="10" t="str">
        <f aca="false">IF(C107="","",IF(AND(A107&lt;&gt;"",B107&lt;&gt;""),"Completa","Incompleta"))</f>
        <v/>
      </c>
      <c r="L107" s="10" t="str">
        <f aca="false">IF(C107="","",IF(AND(D107&lt;&gt;"",E107&lt;&gt;"",F107&lt;&gt;"",G107&lt;&gt;"",H107&lt;&gt;""),"Completa","Incompleta"))</f>
        <v/>
      </c>
      <c r="M107" s="10" t="str">
        <f aca="false">IF(C107="","",IF(AND(K107="Completa",L107="Completa"),"Completa","Parcial"))</f>
        <v/>
      </c>
    </row>
    <row r="108" customFormat="false" ht="15" hidden="false" customHeight="false" outlineLevel="0" collapsed="false">
      <c r="A108" s="18"/>
      <c r="B108" s="10"/>
      <c r="C108" s="10"/>
      <c r="D108" s="10"/>
      <c r="E108" s="10"/>
      <c r="F108" s="10"/>
      <c r="G108" s="10"/>
      <c r="H108" s="5"/>
      <c r="I108" s="10"/>
      <c r="J108" s="10"/>
      <c r="K108" s="10" t="str">
        <f aca="false">IF(C108="","",IF(AND(A108&lt;&gt;"",B108&lt;&gt;""),"Completa","Incompleta"))</f>
        <v/>
      </c>
      <c r="L108" s="10" t="str">
        <f aca="false">IF(C108="","",IF(AND(D108&lt;&gt;"",E108&lt;&gt;"",F108&lt;&gt;"",G108&lt;&gt;"",H108&lt;&gt;""),"Completa","Incompleta"))</f>
        <v/>
      </c>
      <c r="M108" s="10" t="str">
        <f aca="false">IF(C108="","",IF(AND(K108="Completa",L108="Completa"),"Completa","Parcial"))</f>
        <v/>
      </c>
    </row>
    <row r="109" customFormat="false" ht="15" hidden="false" customHeight="false" outlineLevel="0" collapsed="false">
      <c r="A109" s="18"/>
      <c r="B109" s="10"/>
      <c r="C109" s="10"/>
      <c r="D109" s="10"/>
      <c r="E109" s="10"/>
      <c r="F109" s="10"/>
      <c r="G109" s="10"/>
      <c r="H109" s="5"/>
      <c r="I109" s="10"/>
      <c r="J109" s="10"/>
      <c r="K109" s="10" t="str">
        <f aca="false">IF(C109="","",IF(AND(A109&lt;&gt;"",B109&lt;&gt;""),"Completa","Incompleta"))</f>
        <v/>
      </c>
      <c r="L109" s="10" t="str">
        <f aca="false">IF(C109="","",IF(AND(D109&lt;&gt;"",E109&lt;&gt;"",F109&lt;&gt;"",G109&lt;&gt;"",H109&lt;&gt;""),"Completa","Incompleta"))</f>
        <v/>
      </c>
      <c r="M109" s="10" t="str">
        <f aca="false">IF(C109="","",IF(AND(K109="Completa",L109="Completa"),"Completa","Parcial"))</f>
        <v/>
      </c>
    </row>
    <row r="110" customFormat="false" ht="15" hidden="false" customHeight="false" outlineLevel="0" collapsed="false">
      <c r="A110" s="18"/>
      <c r="B110" s="10"/>
      <c r="C110" s="10"/>
      <c r="D110" s="10"/>
      <c r="E110" s="10"/>
      <c r="F110" s="10"/>
      <c r="G110" s="10"/>
      <c r="H110" s="5"/>
      <c r="I110" s="10"/>
      <c r="J110" s="10"/>
      <c r="K110" s="10" t="str">
        <f aca="false">IF(C110="","",IF(AND(A110&lt;&gt;"",B110&lt;&gt;""),"Completa","Incompleta"))</f>
        <v/>
      </c>
      <c r="L110" s="10" t="str">
        <f aca="false">IF(C110="","",IF(AND(D110&lt;&gt;"",E110&lt;&gt;"",F110&lt;&gt;"",G110&lt;&gt;"",H110&lt;&gt;""),"Completa","Incompleta"))</f>
        <v/>
      </c>
      <c r="M110" s="10" t="str">
        <f aca="false">IF(C110="","",IF(AND(K110="Completa",L110="Completa"),"Completa","Parcial"))</f>
        <v/>
      </c>
    </row>
    <row r="111" customFormat="false" ht="15" hidden="false" customHeight="false" outlineLevel="0" collapsed="false">
      <c r="A111" s="18"/>
      <c r="B111" s="10"/>
      <c r="C111" s="10"/>
      <c r="D111" s="10"/>
      <c r="E111" s="10"/>
      <c r="F111" s="10"/>
      <c r="G111" s="10"/>
      <c r="H111" s="5"/>
      <c r="I111" s="10"/>
      <c r="J111" s="10"/>
      <c r="K111" s="10" t="str">
        <f aca="false">IF(C111="","",IF(AND(A111&lt;&gt;"",B111&lt;&gt;""),"Completa","Incompleta"))</f>
        <v/>
      </c>
      <c r="L111" s="10" t="str">
        <f aca="false">IF(C111="","",IF(AND(D111&lt;&gt;"",E111&lt;&gt;"",F111&lt;&gt;"",G111&lt;&gt;"",H111&lt;&gt;""),"Completa","Incompleta"))</f>
        <v/>
      </c>
      <c r="M111" s="10" t="str">
        <f aca="false">IF(C111="","",IF(AND(K111="Completa",L111="Completa"),"Completa","Parcial"))</f>
        <v/>
      </c>
    </row>
    <row r="112" customFormat="false" ht="15" hidden="false" customHeight="false" outlineLevel="0" collapsed="false">
      <c r="A112" s="18"/>
      <c r="B112" s="10"/>
      <c r="C112" s="10"/>
      <c r="D112" s="10"/>
      <c r="E112" s="10"/>
      <c r="F112" s="10"/>
      <c r="G112" s="10"/>
      <c r="H112" s="5"/>
      <c r="I112" s="10"/>
      <c r="J112" s="10"/>
      <c r="K112" s="10" t="str">
        <f aca="false">IF(C112="","",IF(AND(A112&lt;&gt;"",B112&lt;&gt;""),"Completa","Incompleta"))</f>
        <v/>
      </c>
      <c r="L112" s="10" t="str">
        <f aca="false">IF(C112="","",IF(AND(D112&lt;&gt;"",E112&lt;&gt;"",F112&lt;&gt;"",G112&lt;&gt;"",H112&lt;&gt;""),"Completa","Incompleta"))</f>
        <v/>
      </c>
      <c r="M112" s="10" t="str">
        <f aca="false">IF(C112="","",IF(AND(K112="Completa",L112="Completa"),"Completa","Parcial"))</f>
        <v/>
      </c>
    </row>
    <row r="113" customFormat="false" ht="15" hidden="false" customHeight="false" outlineLevel="0" collapsed="false">
      <c r="A113" s="18"/>
      <c r="B113" s="10"/>
      <c r="C113" s="10"/>
      <c r="D113" s="10"/>
      <c r="E113" s="10"/>
      <c r="F113" s="10"/>
      <c r="G113" s="10"/>
      <c r="H113" s="5"/>
      <c r="I113" s="10"/>
      <c r="J113" s="10"/>
      <c r="K113" s="10" t="str">
        <f aca="false">IF(C113="","",IF(AND(A113&lt;&gt;"",B113&lt;&gt;""),"Completa","Incompleta"))</f>
        <v/>
      </c>
      <c r="L113" s="10" t="str">
        <f aca="false">IF(C113="","",IF(AND(D113&lt;&gt;"",E113&lt;&gt;"",F113&lt;&gt;"",G113&lt;&gt;"",H113&lt;&gt;""),"Completa","Incompleta"))</f>
        <v/>
      </c>
      <c r="M113" s="10" t="str">
        <f aca="false">IF(C113="","",IF(AND(K113="Completa",L113="Completa"),"Completa","Parcial"))</f>
        <v/>
      </c>
    </row>
    <row r="114" customFormat="false" ht="15" hidden="false" customHeight="false" outlineLevel="0" collapsed="false">
      <c r="A114" s="18"/>
      <c r="B114" s="10"/>
      <c r="C114" s="10"/>
      <c r="D114" s="10"/>
      <c r="E114" s="10"/>
      <c r="F114" s="10"/>
      <c r="G114" s="10"/>
      <c r="H114" s="5"/>
      <c r="I114" s="10"/>
      <c r="J114" s="10"/>
      <c r="K114" s="10" t="str">
        <f aca="false">IF(C114="","",IF(AND(A114&lt;&gt;"",B114&lt;&gt;""),"Completa","Incompleta"))</f>
        <v/>
      </c>
      <c r="L114" s="10" t="str">
        <f aca="false">IF(C114="","",IF(AND(D114&lt;&gt;"",E114&lt;&gt;"",F114&lt;&gt;"",G114&lt;&gt;"",H114&lt;&gt;""),"Completa","Incompleta"))</f>
        <v/>
      </c>
      <c r="M114" s="10" t="str">
        <f aca="false">IF(C114="","",IF(AND(K114="Completa",L114="Completa"),"Completa","Parcial"))</f>
        <v/>
      </c>
    </row>
    <row r="115" customFormat="false" ht="15" hidden="false" customHeight="false" outlineLevel="0" collapsed="false">
      <c r="A115" s="18"/>
      <c r="B115" s="10"/>
      <c r="C115" s="10"/>
      <c r="D115" s="10"/>
      <c r="E115" s="10"/>
      <c r="F115" s="10"/>
      <c r="G115" s="10"/>
      <c r="H115" s="5"/>
      <c r="I115" s="10"/>
      <c r="J115" s="10"/>
      <c r="K115" s="10" t="str">
        <f aca="false">IF(C115="","",IF(AND(A115&lt;&gt;"",B115&lt;&gt;""),"Completa","Incompleta"))</f>
        <v/>
      </c>
      <c r="L115" s="10" t="str">
        <f aca="false">IF(C115="","",IF(AND(D115&lt;&gt;"",E115&lt;&gt;"",F115&lt;&gt;"",G115&lt;&gt;"",H115&lt;&gt;""),"Completa","Incompleta"))</f>
        <v/>
      </c>
      <c r="M115" s="10" t="str">
        <f aca="false">IF(C115="","",IF(AND(K115="Completa",L115="Completa"),"Completa","Parcial"))</f>
        <v/>
      </c>
    </row>
    <row r="116" customFormat="false" ht="15" hidden="false" customHeight="false" outlineLevel="0" collapsed="false">
      <c r="A116" s="18"/>
      <c r="B116" s="10"/>
      <c r="C116" s="10"/>
      <c r="D116" s="10"/>
      <c r="E116" s="10"/>
      <c r="F116" s="10"/>
      <c r="G116" s="10"/>
      <c r="H116" s="5"/>
      <c r="I116" s="10"/>
      <c r="J116" s="10"/>
      <c r="K116" s="10" t="str">
        <f aca="false">IF(C116="","",IF(AND(A116&lt;&gt;"",B116&lt;&gt;""),"Completa","Incompleta"))</f>
        <v/>
      </c>
      <c r="L116" s="10" t="str">
        <f aca="false">IF(C116="","",IF(AND(D116&lt;&gt;"",E116&lt;&gt;"",F116&lt;&gt;"",G116&lt;&gt;"",H116&lt;&gt;""),"Completa","Incompleta"))</f>
        <v/>
      </c>
      <c r="M116" s="10" t="str">
        <f aca="false">IF(C116="","",IF(AND(K116="Completa",L116="Completa"),"Completa","Parcial"))</f>
        <v/>
      </c>
    </row>
    <row r="117" customFormat="false" ht="15" hidden="false" customHeight="false" outlineLevel="0" collapsed="false">
      <c r="A117" s="18"/>
      <c r="B117" s="10"/>
      <c r="C117" s="10"/>
      <c r="D117" s="10"/>
      <c r="E117" s="10"/>
      <c r="F117" s="10"/>
      <c r="G117" s="10"/>
      <c r="H117" s="5"/>
      <c r="I117" s="10"/>
      <c r="J117" s="10"/>
      <c r="K117" s="10" t="str">
        <f aca="false">IF(C117="","",IF(AND(A117&lt;&gt;"",B117&lt;&gt;""),"Completa","Incompleta"))</f>
        <v/>
      </c>
      <c r="L117" s="10" t="str">
        <f aca="false">IF(C117="","",IF(AND(D117&lt;&gt;"",E117&lt;&gt;"",F117&lt;&gt;"",G117&lt;&gt;"",H117&lt;&gt;""),"Completa","Incompleta"))</f>
        <v/>
      </c>
      <c r="M117" s="10" t="str">
        <f aca="false">IF(C117="","",IF(AND(K117="Completa",L117="Completa"),"Completa","Parcial"))</f>
        <v/>
      </c>
    </row>
    <row r="118" customFormat="false" ht="15" hidden="false" customHeight="false" outlineLevel="0" collapsed="false">
      <c r="A118" s="18"/>
      <c r="B118" s="10"/>
      <c r="C118" s="10"/>
      <c r="D118" s="10"/>
      <c r="E118" s="10"/>
      <c r="F118" s="10"/>
      <c r="G118" s="10"/>
      <c r="H118" s="5"/>
      <c r="I118" s="10"/>
      <c r="J118" s="10"/>
      <c r="K118" s="10" t="str">
        <f aca="false">IF(C118="","",IF(AND(A118&lt;&gt;"",B118&lt;&gt;""),"Completa","Incompleta"))</f>
        <v/>
      </c>
      <c r="L118" s="10" t="str">
        <f aca="false">IF(C118="","",IF(AND(D118&lt;&gt;"",E118&lt;&gt;"",F118&lt;&gt;"",G118&lt;&gt;"",H118&lt;&gt;""),"Completa","Incompleta"))</f>
        <v/>
      </c>
      <c r="M118" s="10" t="str">
        <f aca="false">IF(C118="","",IF(AND(K118="Completa",L118="Completa"),"Completa","Parcial"))</f>
        <v/>
      </c>
    </row>
    <row r="119" customFormat="false" ht="15" hidden="false" customHeight="false" outlineLevel="0" collapsed="false">
      <c r="A119" s="18"/>
      <c r="B119" s="10"/>
      <c r="C119" s="10"/>
      <c r="D119" s="10"/>
      <c r="E119" s="10"/>
      <c r="F119" s="10"/>
      <c r="G119" s="10"/>
      <c r="H119" s="5"/>
      <c r="I119" s="10"/>
      <c r="J119" s="10"/>
      <c r="K119" s="10" t="str">
        <f aca="false">IF(C119="","",IF(AND(A119&lt;&gt;"",B119&lt;&gt;""),"Completa","Incompleta"))</f>
        <v/>
      </c>
      <c r="L119" s="10" t="str">
        <f aca="false">IF(C119="","",IF(AND(D119&lt;&gt;"",E119&lt;&gt;"",F119&lt;&gt;"",G119&lt;&gt;"",H119&lt;&gt;""),"Completa","Incompleta"))</f>
        <v/>
      </c>
      <c r="M119" s="10" t="str">
        <f aca="false">IF(C119="","",IF(AND(K119="Completa",L119="Completa"),"Completa","Parcial"))</f>
        <v/>
      </c>
    </row>
    <row r="120" customFormat="false" ht="15" hidden="false" customHeight="false" outlineLevel="0" collapsed="false">
      <c r="A120" s="18"/>
      <c r="B120" s="10"/>
      <c r="C120" s="10"/>
      <c r="D120" s="10"/>
      <c r="E120" s="10"/>
      <c r="F120" s="10"/>
      <c r="G120" s="10"/>
      <c r="H120" s="5"/>
      <c r="I120" s="10"/>
      <c r="J120" s="10"/>
      <c r="K120" s="10" t="str">
        <f aca="false">IF(C120="","",IF(AND(A120&lt;&gt;"",B120&lt;&gt;""),"Completa","Incompleta"))</f>
        <v/>
      </c>
      <c r="L120" s="10" t="str">
        <f aca="false">IF(C120="","",IF(AND(D120&lt;&gt;"",E120&lt;&gt;"",F120&lt;&gt;"",G120&lt;&gt;"",H120&lt;&gt;""),"Completa","Incompleta"))</f>
        <v/>
      </c>
      <c r="M120" s="10" t="str">
        <f aca="false">IF(C120="","",IF(AND(K120="Completa",L120="Completa"),"Completa","Parcial"))</f>
        <v/>
      </c>
    </row>
    <row r="121" customFormat="false" ht="15" hidden="false" customHeight="false" outlineLevel="0" collapsed="false">
      <c r="A121" s="18"/>
      <c r="B121" s="10"/>
      <c r="C121" s="10"/>
      <c r="D121" s="10"/>
      <c r="E121" s="10"/>
      <c r="F121" s="10"/>
      <c r="G121" s="10"/>
      <c r="H121" s="5"/>
      <c r="I121" s="10"/>
      <c r="J121" s="10"/>
      <c r="K121" s="10" t="str">
        <f aca="false">IF(C121="","",IF(AND(A121&lt;&gt;"",B121&lt;&gt;""),"Completa","Incompleta"))</f>
        <v/>
      </c>
      <c r="L121" s="10" t="str">
        <f aca="false">IF(C121="","",IF(AND(D121&lt;&gt;"",E121&lt;&gt;"",F121&lt;&gt;"",G121&lt;&gt;"",H121&lt;&gt;""),"Completa","Incompleta"))</f>
        <v/>
      </c>
      <c r="M121" s="10" t="str">
        <f aca="false">IF(C121="","",IF(AND(K121="Completa",L121="Completa"),"Completa","Parcial"))</f>
        <v/>
      </c>
    </row>
    <row r="122" customFormat="false" ht="15" hidden="false" customHeight="false" outlineLevel="0" collapsed="false">
      <c r="A122" s="18"/>
      <c r="B122" s="10"/>
      <c r="C122" s="10"/>
      <c r="D122" s="10"/>
      <c r="E122" s="10"/>
      <c r="F122" s="10"/>
      <c r="G122" s="10"/>
      <c r="H122" s="5"/>
      <c r="I122" s="10"/>
      <c r="J122" s="10"/>
      <c r="K122" s="10" t="str">
        <f aca="false">IF(C122="","",IF(AND(A122&lt;&gt;"",B122&lt;&gt;""),"Completa","Incompleta"))</f>
        <v/>
      </c>
      <c r="L122" s="10" t="str">
        <f aca="false">IF(C122="","",IF(AND(D122&lt;&gt;"",E122&lt;&gt;"",F122&lt;&gt;"",G122&lt;&gt;"",H122&lt;&gt;""),"Completa","Incompleta"))</f>
        <v/>
      </c>
      <c r="M122" s="10" t="str">
        <f aca="false">IF(C122="","",IF(AND(K122="Completa",L122="Completa"),"Completa","Parcial"))</f>
        <v/>
      </c>
    </row>
    <row r="123" customFormat="false" ht="15" hidden="false" customHeight="false" outlineLevel="0" collapsed="false">
      <c r="A123" s="18"/>
      <c r="B123" s="10"/>
      <c r="C123" s="10"/>
      <c r="D123" s="10"/>
      <c r="E123" s="10"/>
      <c r="F123" s="10"/>
      <c r="G123" s="10"/>
      <c r="H123" s="5"/>
      <c r="I123" s="10"/>
      <c r="J123" s="10"/>
      <c r="K123" s="10" t="str">
        <f aca="false">IF(C123="","",IF(AND(A123&lt;&gt;"",B123&lt;&gt;""),"Completa","Incompleta"))</f>
        <v/>
      </c>
      <c r="L123" s="10" t="str">
        <f aca="false">IF(C123="","",IF(AND(D123&lt;&gt;"",E123&lt;&gt;"",F123&lt;&gt;"",G123&lt;&gt;"",H123&lt;&gt;""),"Completa","Incompleta"))</f>
        <v/>
      </c>
      <c r="M123" s="10" t="str">
        <f aca="false">IF(C123="","",IF(AND(K123="Completa",L123="Completa"),"Completa","Parcial"))</f>
        <v/>
      </c>
    </row>
    <row r="124" customFormat="false" ht="15" hidden="false" customHeight="false" outlineLevel="0" collapsed="false">
      <c r="A124" s="18"/>
      <c r="B124" s="10"/>
      <c r="C124" s="10"/>
      <c r="D124" s="10"/>
      <c r="E124" s="10"/>
      <c r="F124" s="10"/>
      <c r="G124" s="10"/>
      <c r="H124" s="5"/>
      <c r="I124" s="10"/>
      <c r="J124" s="10"/>
      <c r="K124" s="10" t="str">
        <f aca="false">IF(C124="","",IF(AND(A124&lt;&gt;"",B124&lt;&gt;""),"Completa","Incompleta"))</f>
        <v/>
      </c>
      <c r="L124" s="10" t="str">
        <f aca="false">IF(C124="","",IF(AND(D124&lt;&gt;"",E124&lt;&gt;"",F124&lt;&gt;"",G124&lt;&gt;"",H124&lt;&gt;""),"Completa","Incompleta"))</f>
        <v/>
      </c>
      <c r="M124" s="10" t="str">
        <f aca="false">IF(C124="","",IF(AND(K124="Completa",L124="Completa"),"Completa","Parcial"))</f>
        <v/>
      </c>
    </row>
    <row r="125" customFormat="false" ht="15" hidden="false" customHeight="false" outlineLevel="0" collapsed="false">
      <c r="A125" s="18"/>
      <c r="B125" s="10"/>
      <c r="C125" s="10"/>
      <c r="D125" s="10"/>
      <c r="E125" s="10"/>
      <c r="F125" s="10"/>
      <c r="G125" s="10"/>
      <c r="H125" s="5"/>
      <c r="I125" s="10"/>
      <c r="J125" s="10"/>
      <c r="K125" s="10" t="str">
        <f aca="false">IF(C125="","",IF(AND(A125&lt;&gt;"",B125&lt;&gt;""),"Completa","Incompleta"))</f>
        <v/>
      </c>
      <c r="L125" s="10" t="str">
        <f aca="false">IF(C125="","",IF(AND(D125&lt;&gt;"",E125&lt;&gt;"",F125&lt;&gt;"",G125&lt;&gt;"",H125&lt;&gt;""),"Completa","Incompleta"))</f>
        <v/>
      </c>
      <c r="M125" s="10" t="str">
        <f aca="false">IF(C125="","",IF(AND(K125="Completa",L125="Completa"),"Completa","Parcial"))</f>
        <v/>
      </c>
    </row>
    <row r="126" customFormat="false" ht="15" hidden="false" customHeight="false" outlineLevel="0" collapsed="false">
      <c r="A126" s="18"/>
      <c r="B126" s="10"/>
      <c r="C126" s="10"/>
      <c r="D126" s="10"/>
      <c r="E126" s="10"/>
      <c r="F126" s="10"/>
      <c r="G126" s="10"/>
      <c r="H126" s="5"/>
      <c r="I126" s="10"/>
      <c r="J126" s="10"/>
      <c r="K126" s="10" t="str">
        <f aca="false">IF(C126="","",IF(AND(A126&lt;&gt;"",B126&lt;&gt;""),"Completa","Incompleta"))</f>
        <v/>
      </c>
      <c r="L126" s="10" t="str">
        <f aca="false">IF(C126="","",IF(AND(D126&lt;&gt;"",E126&lt;&gt;"",F126&lt;&gt;"",G126&lt;&gt;"",H126&lt;&gt;""),"Completa","Incompleta"))</f>
        <v/>
      </c>
      <c r="M126" s="10" t="str">
        <f aca="false">IF(C126="","",IF(AND(K126="Completa",L126="Completa"),"Completa","Parcial"))</f>
        <v/>
      </c>
    </row>
    <row r="127" customFormat="false" ht="15" hidden="false" customHeight="false" outlineLevel="0" collapsed="false">
      <c r="A127" s="18"/>
      <c r="B127" s="10"/>
      <c r="C127" s="10"/>
      <c r="D127" s="10"/>
      <c r="E127" s="10"/>
      <c r="F127" s="10"/>
      <c r="G127" s="10"/>
      <c r="H127" s="5"/>
      <c r="I127" s="10"/>
      <c r="J127" s="10"/>
      <c r="K127" s="10" t="str">
        <f aca="false">IF(C127="","",IF(AND(A127&lt;&gt;"",B127&lt;&gt;""),"Completa","Incompleta"))</f>
        <v/>
      </c>
      <c r="L127" s="10" t="str">
        <f aca="false">IF(C127="","",IF(AND(D127&lt;&gt;"",E127&lt;&gt;"",F127&lt;&gt;"",G127&lt;&gt;"",H127&lt;&gt;""),"Completa","Incompleta"))</f>
        <v/>
      </c>
      <c r="M127" s="10" t="str">
        <f aca="false">IF(C127="","",IF(AND(K127="Completa",L127="Completa"),"Completa","Parcial"))</f>
        <v/>
      </c>
    </row>
    <row r="128" customFormat="false" ht="15" hidden="false" customHeight="false" outlineLevel="0" collapsed="false">
      <c r="A128" s="18"/>
      <c r="B128" s="10"/>
      <c r="C128" s="10"/>
      <c r="D128" s="10"/>
      <c r="E128" s="10"/>
      <c r="F128" s="10"/>
      <c r="G128" s="10"/>
      <c r="H128" s="5"/>
      <c r="I128" s="10"/>
      <c r="J128" s="10"/>
      <c r="K128" s="10" t="str">
        <f aca="false">IF(C128="","",IF(AND(A128&lt;&gt;"",B128&lt;&gt;""),"Completa","Incompleta"))</f>
        <v/>
      </c>
      <c r="L128" s="10" t="str">
        <f aca="false">IF(C128="","",IF(AND(D128&lt;&gt;"",E128&lt;&gt;"",F128&lt;&gt;"",G128&lt;&gt;"",H128&lt;&gt;""),"Completa","Incompleta"))</f>
        <v/>
      </c>
      <c r="M128" s="10" t="str">
        <f aca="false">IF(C128="","",IF(AND(K128="Completa",L128="Completa"),"Completa","Parcial"))</f>
        <v/>
      </c>
    </row>
    <row r="129" customFormat="false" ht="15" hidden="false" customHeight="false" outlineLevel="0" collapsed="false">
      <c r="A129" s="18"/>
      <c r="B129" s="10"/>
      <c r="C129" s="10"/>
      <c r="D129" s="10"/>
      <c r="E129" s="10"/>
      <c r="F129" s="10"/>
      <c r="G129" s="10"/>
      <c r="H129" s="5"/>
      <c r="I129" s="10"/>
      <c r="J129" s="10"/>
      <c r="K129" s="10" t="str">
        <f aca="false">IF(C129="","",IF(AND(A129&lt;&gt;"",B129&lt;&gt;""),"Completa","Incompleta"))</f>
        <v/>
      </c>
      <c r="L129" s="10" t="str">
        <f aca="false">IF(C129="","",IF(AND(D129&lt;&gt;"",E129&lt;&gt;"",F129&lt;&gt;"",G129&lt;&gt;"",H129&lt;&gt;""),"Completa","Incompleta"))</f>
        <v/>
      </c>
      <c r="M129" s="10" t="str">
        <f aca="false">IF(C129="","",IF(AND(K129="Completa",L129="Completa"),"Completa","Parcial"))</f>
        <v/>
      </c>
    </row>
    <row r="130" customFormat="false" ht="15" hidden="false" customHeight="false" outlineLevel="0" collapsed="false">
      <c r="A130" s="18"/>
      <c r="B130" s="10"/>
      <c r="C130" s="10"/>
      <c r="D130" s="10"/>
      <c r="E130" s="10"/>
      <c r="F130" s="10"/>
      <c r="G130" s="10"/>
      <c r="H130" s="5"/>
      <c r="I130" s="10"/>
      <c r="J130" s="10"/>
      <c r="K130" s="10" t="str">
        <f aca="false">IF(C130="","",IF(AND(A130&lt;&gt;"",B130&lt;&gt;""),"Completa","Incompleta"))</f>
        <v/>
      </c>
      <c r="L130" s="10" t="str">
        <f aca="false">IF(C130="","",IF(AND(D130&lt;&gt;"",E130&lt;&gt;"",F130&lt;&gt;"",G130&lt;&gt;"",H130&lt;&gt;""),"Completa","Incompleta"))</f>
        <v/>
      </c>
      <c r="M130" s="10" t="str">
        <f aca="false">IF(C130="","",IF(AND(K130="Completa",L130="Completa"),"Completa","Parcial"))</f>
        <v/>
      </c>
    </row>
    <row r="131" customFormat="false" ht="15" hidden="false" customHeight="false" outlineLevel="0" collapsed="false">
      <c r="A131" s="18"/>
      <c r="B131" s="10"/>
      <c r="C131" s="10"/>
      <c r="D131" s="10"/>
      <c r="E131" s="10"/>
      <c r="F131" s="10"/>
      <c r="G131" s="10"/>
      <c r="H131" s="5"/>
      <c r="I131" s="10"/>
      <c r="J131" s="10"/>
      <c r="K131" s="10" t="str">
        <f aca="false">IF(C131="","",IF(AND(A131&lt;&gt;"",B131&lt;&gt;""),"Completa","Incompleta"))</f>
        <v/>
      </c>
      <c r="L131" s="10" t="str">
        <f aca="false">IF(C131="","",IF(AND(D131&lt;&gt;"",E131&lt;&gt;"",F131&lt;&gt;"",G131&lt;&gt;"",H131&lt;&gt;""),"Completa","Incompleta"))</f>
        <v/>
      </c>
      <c r="M131" s="10" t="str">
        <f aca="false">IF(C131="","",IF(AND(K131="Completa",L131="Completa"),"Completa","Parcial"))</f>
        <v/>
      </c>
    </row>
    <row r="132" customFormat="false" ht="15" hidden="false" customHeight="false" outlineLevel="0" collapsed="false">
      <c r="A132" s="18"/>
      <c r="B132" s="10"/>
      <c r="C132" s="10"/>
      <c r="D132" s="10"/>
      <c r="E132" s="10"/>
      <c r="F132" s="10"/>
      <c r="G132" s="10"/>
      <c r="H132" s="5"/>
      <c r="I132" s="10"/>
      <c r="J132" s="10"/>
      <c r="K132" s="10" t="str">
        <f aca="false">IF(C132="","",IF(AND(A132&lt;&gt;"",B132&lt;&gt;""),"Completa","Incompleta"))</f>
        <v/>
      </c>
      <c r="L132" s="10" t="str">
        <f aca="false">IF(C132="","",IF(AND(D132&lt;&gt;"",E132&lt;&gt;"",F132&lt;&gt;"",G132&lt;&gt;"",H132&lt;&gt;""),"Completa","Incompleta"))</f>
        <v/>
      </c>
      <c r="M132" s="10" t="str">
        <f aca="false">IF(C132="","",IF(AND(K132="Completa",L132="Completa"),"Completa","Parcial"))</f>
        <v/>
      </c>
    </row>
    <row r="133" customFormat="false" ht="15" hidden="false" customHeight="false" outlineLevel="0" collapsed="false">
      <c r="A133" s="18"/>
      <c r="B133" s="10"/>
      <c r="C133" s="10"/>
      <c r="D133" s="10"/>
      <c r="E133" s="10"/>
      <c r="F133" s="10"/>
      <c r="G133" s="10"/>
      <c r="H133" s="5"/>
      <c r="I133" s="10"/>
      <c r="J133" s="10"/>
      <c r="K133" s="10" t="str">
        <f aca="false">IF(C133="","",IF(AND(A133&lt;&gt;"",B133&lt;&gt;""),"Completa","Incompleta"))</f>
        <v/>
      </c>
      <c r="L133" s="10" t="str">
        <f aca="false">IF(C133="","",IF(AND(D133&lt;&gt;"",E133&lt;&gt;"",F133&lt;&gt;"",G133&lt;&gt;"",H133&lt;&gt;""),"Completa","Incompleta"))</f>
        <v/>
      </c>
      <c r="M133" s="10" t="str">
        <f aca="false">IF(C133="","",IF(AND(K133="Completa",L133="Completa"),"Completa","Parcial"))</f>
        <v/>
      </c>
    </row>
    <row r="134" customFormat="false" ht="15" hidden="false" customHeight="false" outlineLevel="0" collapsed="false">
      <c r="A134" s="18"/>
      <c r="B134" s="10"/>
      <c r="C134" s="10"/>
      <c r="D134" s="10"/>
      <c r="E134" s="10"/>
      <c r="F134" s="10"/>
      <c r="G134" s="10"/>
      <c r="H134" s="5"/>
      <c r="I134" s="10"/>
      <c r="J134" s="10"/>
      <c r="K134" s="10" t="str">
        <f aca="false">IF(C134="","",IF(AND(A134&lt;&gt;"",B134&lt;&gt;""),"Completa","Incompleta"))</f>
        <v/>
      </c>
      <c r="L134" s="10" t="str">
        <f aca="false">IF(C134="","",IF(AND(D134&lt;&gt;"",E134&lt;&gt;"",F134&lt;&gt;"",G134&lt;&gt;"",H134&lt;&gt;""),"Completa","Incompleta"))</f>
        <v/>
      </c>
      <c r="M134" s="10" t="str">
        <f aca="false">IF(C134="","",IF(AND(K134="Completa",L134="Completa"),"Completa","Parcial"))</f>
        <v/>
      </c>
    </row>
    <row r="135" customFormat="false" ht="15" hidden="false" customHeight="false" outlineLevel="0" collapsed="false">
      <c r="A135" s="18"/>
      <c r="B135" s="10"/>
      <c r="C135" s="10"/>
      <c r="D135" s="10"/>
      <c r="E135" s="10"/>
      <c r="F135" s="10"/>
      <c r="G135" s="10"/>
      <c r="H135" s="5"/>
      <c r="I135" s="10"/>
      <c r="J135" s="10"/>
      <c r="K135" s="10" t="str">
        <f aca="false">IF(C135="","",IF(AND(A135&lt;&gt;"",B135&lt;&gt;""),"Completa","Incompleta"))</f>
        <v/>
      </c>
      <c r="L135" s="10" t="str">
        <f aca="false">IF(C135="","",IF(AND(D135&lt;&gt;"",E135&lt;&gt;"",F135&lt;&gt;"",G135&lt;&gt;"",H135&lt;&gt;""),"Completa","Incompleta"))</f>
        <v/>
      </c>
      <c r="M135" s="10" t="str">
        <f aca="false">IF(C135="","",IF(AND(K135="Completa",L135="Completa"),"Completa","Parcial"))</f>
        <v/>
      </c>
    </row>
    <row r="136" customFormat="false" ht="15" hidden="false" customHeight="false" outlineLevel="0" collapsed="false">
      <c r="A136" s="18"/>
      <c r="B136" s="10"/>
      <c r="C136" s="10"/>
      <c r="D136" s="10"/>
      <c r="E136" s="10"/>
      <c r="F136" s="10"/>
      <c r="G136" s="10"/>
      <c r="H136" s="5"/>
      <c r="I136" s="10"/>
      <c r="J136" s="10"/>
      <c r="K136" s="10" t="str">
        <f aca="false">IF(C136="","",IF(AND(A136&lt;&gt;"",B136&lt;&gt;""),"Completa","Incompleta"))</f>
        <v/>
      </c>
      <c r="L136" s="10" t="str">
        <f aca="false">IF(C136="","",IF(AND(D136&lt;&gt;"",E136&lt;&gt;"",F136&lt;&gt;"",G136&lt;&gt;"",H136&lt;&gt;""),"Completa","Incompleta"))</f>
        <v/>
      </c>
      <c r="M136" s="10" t="str">
        <f aca="false">IF(C136="","",IF(AND(K136="Completa",L136="Completa"),"Completa","Parcial"))</f>
        <v/>
      </c>
    </row>
    <row r="137" customFormat="false" ht="15" hidden="false" customHeight="false" outlineLevel="0" collapsed="false">
      <c r="A137" s="18"/>
      <c r="B137" s="10"/>
      <c r="C137" s="10"/>
      <c r="D137" s="10"/>
      <c r="E137" s="10"/>
      <c r="F137" s="10"/>
      <c r="G137" s="10"/>
      <c r="H137" s="5"/>
      <c r="I137" s="10"/>
      <c r="J137" s="10"/>
      <c r="K137" s="10" t="str">
        <f aca="false">IF(C137="","",IF(AND(A137&lt;&gt;"",B137&lt;&gt;""),"Completa","Incompleta"))</f>
        <v/>
      </c>
      <c r="L137" s="10" t="str">
        <f aca="false">IF(C137="","",IF(AND(D137&lt;&gt;"",E137&lt;&gt;"",F137&lt;&gt;"",G137&lt;&gt;"",H137&lt;&gt;""),"Completa","Incompleta"))</f>
        <v/>
      </c>
      <c r="M137" s="10" t="str">
        <f aca="false">IF(C137="","",IF(AND(K137="Completa",L137="Completa"),"Completa","Parcial"))</f>
        <v/>
      </c>
    </row>
    <row r="138" customFormat="false" ht="15" hidden="false" customHeight="false" outlineLevel="0" collapsed="false">
      <c r="A138" s="18"/>
      <c r="B138" s="10"/>
      <c r="C138" s="10"/>
      <c r="D138" s="10"/>
      <c r="E138" s="10"/>
      <c r="F138" s="10"/>
      <c r="G138" s="10"/>
      <c r="H138" s="5"/>
      <c r="I138" s="10"/>
      <c r="J138" s="10"/>
      <c r="K138" s="10" t="str">
        <f aca="false">IF(C138="","",IF(AND(A138&lt;&gt;"",B138&lt;&gt;""),"Completa","Incompleta"))</f>
        <v/>
      </c>
      <c r="L138" s="10" t="str">
        <f aca="false">IF(C138="","",IF(AND(D138&lt;&gt;"",E138&lt;&gt;"",F138&lt;&gt;"",G138&lt;&gt;"",H138&lt;&gt;""),"Completa","Incompleta"))</f>
        <v/>
      </c>
      <c r="M138" s="10" t="str">
        <f aca="false">IF(C138="","",IF(AND(K138="Completa",L138="Completa"),"Completa","Parcial"))</f>
        <v/>
      </c>
    </row>
    <row r="139" customFormat="false" ht="15" hidden="false" customHeight="false" outlineLevel="0" collapsed="false">
      <c r="A139" s="18"/>
      <c r="B139" s="10"/>
      <c r="C139" s="10"/>
      <c r="D139" s="10"/>
      <c r="E139" s="10"/>
      <c r="F139" s="10"/>
      <c r="G139" s="10"/>
      <c r="H139" s="5"/>
      <c r="I139" s="10"/>
      <c r="J139" s="10"/>
      <c r="K139" s="10" t="str">
        <f aca="false">IF(C139="","",IF(AND(A139&lt;&gt;"",B139&lt;&gt;""),"Completa","Incompleta"))</f>
        <v/>
      </c>
      <c r="L139" s="10" t="str">
        <f aca="false">IF(C139="","",IF(AND(D139&lt;&gt;"",E139&lt;&gt;"",F139&lt;&gt;"",G139&lt;&gt;"",H139&lt;&gt;""),"Completa","Incompleta"))</f>
        <v/>
      </c>
      <c r="M139" s="10" t="str">
        <f aca="false">IF(C139="","",IF(AND(K139="Completa",L139="Completa"),"Completa","Parcial"))</f>
        <v/>
      </c>
    </row>
    <row r="140" customFormat="false" ht="15" hidden="false" customHeight="false" outlineLevel="0" collapsed="false">
      <c r="A140" s="18"/>
      <c r="B140" s="10"/>
      <c r="C140" s="10"/>
      <c r="D140" s="10"/>
      <c r="E140" s="10"/>
      <c r="F140" s="10"/>
      <c r="G140" s="10"/>
      <c r="H140" s="5"/>
      <c r="I140" s="10"/>
      <c r="J140" s="10"/>
      <c r="K140" s="10" t="str">
        <f aca="false">IF(C140="","",IF(AND(A140&lt;&gt;"",B140&lt;&gt;""),"Completa","Incompleta"))</f>
        <v/>
      </c>
      <c r="L140" s="10" t="str">
        <f aca="false">IF(C140="","",IF(AND(D140&lt;&gt;"",E140&lt;&gt;"",F140&lt;&gt;"",G140&lt;&gt;"",H140&lt;&gt;""),"Completa","Incompleta"))</f>
        <v/>
      </c>
      <c r="M140" s="10" t="str">
        <f aca="false">IF(C140="","",IF(AND(K140="Completa",L140="Completa"),"Completa","Parcial"))</f>
        <v/>
      </c>
    </row>
    <row r="141" customFormat="false" ht="15" hidden="false" customHeight="false" outlineLevel="0" collapsed="false">
      <c r="A141" s="18"/>
      <c r="B141" s="10"/>
      <c r="C141" s="10"/>
      <c r="D141" s="10"/>
      <c r="E141" s="10"/>
      <c r="F141" s="10"/>
      <c r="G141" s="10"/>
      <c r="H141" s="5"/>
      <c r="I141" s="10"/>
      <c r="J141" s="10"/>
      <c r="K141" s="10" t="str">
        <f aca="false">IF(C141="","",IF(AND(A141&lt;&gt;"",B141&lt;&gt;""),"Completa","Incompleta"))</f>
        <v/>
      </c>
      <c r="L141" s="10" t="str">
        <f aca="false">IF(C141="","",IF(AND(D141&lt;&gt;"",E141&lt;&gt;"",F141&lt;&gt;"",G141&lt;&gt;"",H141&lt;&gt;""),"Completa","Incompleta"))</f>
        <v/>
      </c>
      <c r="M141" s="10" t="str">
        <f aca="false">IF(C141="","",IF(AND(K141="Completa",L141="Completa"),"Completa","Parcial"))</f>
        <v/>
      </c>
    </row>
    <row r="142" customFormat="false" ht="15" hidden="false" customHeight="false" outlineLevel="0" collapsed="false">
      <c r="A142" s="18"/>
      <c r="B142" s="10"/>
      <c r="C142" s="10"/>
      <c r="D142" s="10"/>
      <c r="E142" s="10"/>
      <c r="F142" s="10"/>
      <c r="G142" s="10"/>
      <c r="H142" s="5"/>
      <c r="I142" s="10"/>
      <c r="J142" s="10"/>
      <c r="K142" s="10" t="str">
        <f aca="false">IF(C142="","",IF(AND(A142&lt;&gt;"",B142&lt;&gt;""),"Completa","Incompleta"))</f>
        <v/>
      </c>
      <c r="L142" s="10" t="str">
        <f aca="false">IF(C142="","",IF(AND(D142&lt;&gt;"",E142&lt;&gt;"",F142&lt;&gt;"",G142&lt;&gt;"",H142&lt;&gt;""),"Completa","Incompleta"))</f>
        <v/>
      </c>
      <c r="M142" s="10" t="str">
        <f aca="false">IF(C142="","",IF(AND(K142="Completa",L142="Completa"),"Completa","Parcial"))</f>
        <v/>
      </c>
    </row>
    <row r="143" customFormat="false" ht="15" hidden="false" customHeight="false" outlineLevel="0" collapsed="false">
      <c r="A143" s="18"/>
      <c r="B143" s="10"/>
      <c r="C143" s="10"/>
      <c r="D143" s="10"/>
      <c r="E143" s="10"/>
      <c r="F143" s="10"/>
      <c r="G143" s="10"/>
      <c r="H143" s="5"/>
      <c r="I143" s="10"/>
      <c r="J143" s="10"/>
      <c r="K143" s="10" t="str">
        <f aca="false">IF(C143="","",IF(AND(A143&lt;&gt;"",B143&lt;&gt;""),"Completa","Incompleta"))</f>
        <v/>
      </c>
      <c r="L143" s="10" t="str">
        <f aca="false">IF(C143="","",IF(AND(D143&lt;&gt;"",E143&lt;&gt;"",F143&lt;&gt;"",G143&lt;&gt;"",H143&lt;&gt;""),"Completa","Incompleta"))</f>
        <v/>
      </c>
      <c r="M143" s="10" t="str">
        <f aca="false">IF(C143="","",IF(AND(K143="Completa",L143="Completa"),"Completa","Parcial"))</f>
        <v/>
      </c>
    </row>
    <row r="144" customFormat="false" ht="15" hidden="false" customHeight="false" outlineLevel="0" collapsed="false">
      <c r="A144" s="18"/>
      <c r="B144" s="10"/>
      <c r="C144" s="10"/>
      <c r="D144" s="10"/>
      <c r="E144" s="10"/>
      <c r="F144" s="10"/>
      <c r="G144" s="10"/>
      <c r="H144" s="5"/>
      <c r="I144" s="10"/>
      <c r="J144" s="10"/>
      <c r="K144" s="10" t="str">
        <f aca="false">IF(C144="","",IF(AND(A144&lt;&gt;"",B144&lt;&gt;""),"Completa","Incompleta"))</f>
        <v/>
      </c>
      <c r="L144" s="10" t="str">
        <f aca="false">IF(C144="","",IF(AND(D144&lt;&gt;"",E144&lt;&gt;"",F144&lt;&gt;"",G144&lt;&gt;"",H144&lt;&gt;""),"Completa","Incompleta"))</f>
        <v/>
      </c>
      <c r="M144" s="10" t="str">
        <f aca="false">IF(C144="","",IF(AND(K144="Completa",L144="Completa"),"Completa","Parcial"))</f>
        <v/>
      </c>
    </row>
    <row r="145" customFormat="false" ht="15" hidden="false" customHeight="false" outlineLevel="0" collapsed="false">
      <c r="A145" s="18"/>
      <c r="B145" s="10"/>
      <c r="C145" s="10"/>
      <c r="D145" s="10"/>
      <c r="E145" s="10"/>
      <c r="F145" s="10"/>
      <c r="G145" s="10"/>
      <c r="H145" s="5"/>
      <c r="I145" s="10"/>
      <c r="J145" s="10"/>
      <c r="K145" s="10" t="str">
        <f aca="false">IF(C145="","",IF(AND(A145&lt;&gt;"",B145&lt;&gt;""),"Completa","Incompleta"))</f>
        <v/>
      </c>
      <c r="L145" s="10" t="str">
        <f aca="false">IF(C145="","",IF(AND(D145&lt;&gt;"",E145&lt;&gt;"",F145&lt;&gt;"",G145&lt;&gt;"",H145&lt;&gt;""),"Completa","Incompleta"))</f>
        <v/>
      </c>
      <c r="M145" s="10" t="str">
        <f aca="false">IF(C145="","",IF(AND(K145="Completa",L145="Completa"),"Completa","Parcial"))</f>
        <v/>
      </c>
    </row>
    <row r="146" customFormat="false" ht="15" hidden="false" customHeight="false" outlineLevel="0" collapsed="false">
      <c r="A146" s="18"/>
      <c r="B146" s="10"/>
      <c r="C146" s="10"/>
      <c r="D146" s="10"/>
      <c r="E146" s="10"/>
      <c r="F146" s="10"/>
      <c r="G146" s="10"/>
      <c r="H146" s="5"/>
      <c r="I146" s="10"/>
      <c r="J146" s="10"/>
      <c r="K146" s="10" t="str">
        <f aca="false">IF(C146="","",IF(AND(A146&lt;&gt;"",B146&lt;&gt;""),"Completa","Incompleta"))</f>
        <v/>
      </c>
      <c r="L146" s="10" t="str">
        <f aca="false">IF(C146="","",IF(AND(D146&lt;&gt;"",E146&lt;&gt;"",F146&lt;&gt;"",G146&lt;&gt;"",H146&lt;&gt;""),"Completa","Incompleta"))</f>
        <v/>
      </c>
      <c r="M146" s="10" t="str">
        <f aca="false">IF(C146="","",IF(AND(K146="Completa",L146="Completa"),"Completa","Parcial"))</f>
        <v/>
      </c>
    </row>
    <row r="147" customFormat="false" ht="15" hidden="false" customHeight="false" outlineLevel="0" collapsed="false">
      <c r="A147" s="18"/>
      <c r="B147" s="10"/>
      <c r="C147" s="10"/>
      <c r="D147" s="10"/>
      <c r="E147" s="10"/>
      <c r="F147" s="10"/>
      <c r="G147" s="10"/>
      <c r="H147" s="5"/>
      <c r="I147" s="10"/>
      <c r="J147" s="10"/>
      <c r="K147" s="10" t="str">
        <f aca="false">IF(C147="","",IF(AND(A147&lt;&gt;"",B147&lt;&gt;""),"Completa","Incompleta"))</f>
        <v/>
      </c>
      <c r="L147" s="10" t="str">
        <f aca="false">IF(C147="","",IF(AND(D147&lt;&gt;"",E147&lt;&gt;"",F147&lt;&gt;"",G147&lt;&gt;"",H147&lt;&gt;""),"Completa","Incompleta"))</f>
        <v/>
      </c>
      <c r="M147" s="10" t="str">
        <f aca="false">IF(C147="","",IF(AND(K147="Completa",L147="Completa"),"Completa","Parcial"))</f>
        <v/>
      </c>
    </row>
    <row r="148" customFormat="false" ht="15" hidden="false" customHeight="false" outlineLevel="0" collapsed="false">
      <c r="A148" s="18"/>
      <c r="B148" s="10"/>
      <c r="C148" s="10"/>
      <c r="D148" s="10"/>
      <c r="E148" s="10"/>
      <c r="F148" s="10"/>
      <c r="G148" s="10"/>
      <c r="H148" s="5"/>
      <c r="I148" s="10"/>
      <c r="J148" s="10"/>
      <c r="K148" s="10" t="str">
        <f aca="false">IF(C148="","",IF(AND(A148&lt;&gt;"",B148&lt;&gt;""),"Completa","Incompleta"))</f>
        <v/>
      </c>
      <c r="L148" s="10" t="str">
        <f aca="false">IF(C148="","",IF(AND(D148&lt;&gt;"",E148&lt;&gt;"",F148&lt;&gt;"",G148&lt;&gt;"",H148&lt;&gt;""),"Completa","Incompleta"))</f>
        <v/>
      </c>
      <c r="M148" s="10" t="str">
        <f aca="false">IF(C148="","",IF(AND(K148="Completa",L148="Completa"),"Completa","Parcial"))</f>
        <v/>
      </c>
    </row>
    <row r="149" customFormat="false" ht="15" hidden="false" customHeight="false" outlineLevel="0" collapsed="false">
      <c r="A149" s="18"/>
      <c r="B149" s="10"/>
      <c r="C149" s="10"/>
      <c r="D149" s="10"/>
      <c r="E149" s="10"/>
      <c r="F149" s="10"/>
      <c r="G149" s="10"/>
      <c r="H149" s="5"/>
      <c r="I149" s="10"/>
      <c r="J149" s="10"/>
      <c r="K149" s="10" t="str">
        <f aca="false">IF(C149="","",IF(AND(A149&lt;&gt;"",B149&lt;&gt;""),"Completa","Incompleta"))</f>
        <v/>
      </c>
      <c r="L149" s="10" t="str">
        <f aca="false">IF(C149="","",IF(AND(D149&lt;&gt;"",E149&lt;&gt;"",F149&lt;&gt;"",G149&lt;&gt;"",H149&lt;&gt;""),"Completa","Incompleta"))</f>
        <v/>
      </c>
      <c r="M149" s="10" t="str">
        <f aca="false">IF(C149="","",IF(AND(K149="Completa",L149="Completa"),"Completa","Parcial"))</f>
        <v/>
      </c>
    </row>
    <row r="150" customFormat="false" ht="15" hidden="false" customHeight="false" outlineLevel="0" collapsed="false">
      <c r="A150" s="18"/>
      <c r="B150" s="10"/>
      <c r="C150" s="10"/>
      <c r="D150" s="10"/>
      <c r="E150" s="10"/>
      <c r="F150" s="10"/>
      <c r="G150" s="10"/>
      <c r="H150" s="5"/>
      <c r="I150" s="10"/>
      <c r="J150" s="10"/>
      <c r="K150" s="10" t="str">
        <f aca="false">IF(C150="","",IF(AND(A150&lt;&gt;"",B150&lt;&gt;""),"Completa","Incompleta"))</f>
        <v/>
      </c>
      <c r="L150" s="10" t="str">
        <f aca="false">IF(C150="","",IF(AND(D150&lt;&gt;"",E150&lt;&gt;"",F150&lt;&gt;"",G150&lt;&gt;"",H150&lt;&gt;""),"Completa","Incompleta"))</f>
        <v/>
      </c>
      <c r="M150" s="10" t="str">
        <f aca="false">IF(C150="","",IF(AND(K150="Completa",L150="Completa"),"Completa","Parcial"))</f>
        <v/>
      </c>
    </row>
    <row r="151" customFormat="false" ht="15" hidden="false" customHeight="false" outlineLevel="0" collapsed="false">
      <c r="A151" s="18"/>
      <c r="B151" s="10"/>
      <c r="C151" s="10"/>
      <c r="D151" s="10"/>
      <c r="E151" s="10"/>
      <c r="F151" s="10"/>
      <c r="G151" s="10"/>
      <c r="H151" s="5"/>
      <c r="I151" s="10"/>
      <c r="J151" s="10"/>
      <c r="K151" s="10" t="str">
        <f aca="false">IF(C151="","",IF(AND(A151&lt;&gt;"",B151&lt;&gt;""),"Completa","Incompleta"))</f>
        <v/>
      </c>
      <c r="L151" s="10" t="str">
        <f aca="false">IF(C151="","",IF(AND(D151&lt;&gt;"",E151&lt;&gt;"",F151&lt;&gt;"",G151&lt;&gt;"",H151&lt;&gt;""),"Completa","Incompleta"))</f>
        <v/>
      </c>
      <c r="M151" s="10" t="str">
        <f aca="false">IF(C151="","",IF(AND(K151="Completa",L151="Completa"),"Completa","Parcial"))</f>
        <v/>
      </c>
    </row>
    <row r="152" customFormat="false" ht="15" hidden="false" customHeight="false" outlineLevel="0" collapsed="false">
      <c r="A152" s="18"/>
      <c r="B152" s="10"/>
      <c r="C152" s="10"/>
      <c r="D152" s="10"/>
      <c r="E152" s="10"/>
      <c r="F152" s="10"/>
      <c r="G152" s="10"/>
      <c r="H152" s="5"/>
      <c r="I152" s="10"/>
      <c r="J152" s="10"/>
      <c r="K152" s="10" t="str">
        <f aca="false">IF(C152="","",IF(AND(A152&lt;&gt;"",B152&lt;&gt;""),"Completa","Incompleta"))</f>
        <v/>
      </c>
      <c r="L152" s="10" t="str">
        <f aca="false">IF(C152="","",IF(AND(D152&lt;&gt;"",E152&lt;&gt;"",F152&lt;&gt;"",G152&lt;&gt;"",H152&lt;&gt;""),"Completa","Incompleta"))</f>
        <v/>
      </c>
      <c r="M152" s="10" t="str">
        <f aca="false">IF(C152="","",IF(AND(K152="Completa",L152="Completa"),"Completa","Parcial"))</f>
        <v/>
      </c>
    </row>
    <row r="153" customFormat="false" ht="15" hidden="false" customHeight="false" outlineLevel="0" collapsed="false">
      <c r="A153" s="18"/>
      <c r="B153" s="10"/>
      <c r="C153" s="10"/>
      <c r="D153" s="10"/>
      <c r="E153" s="10"/>
      <c r="F153" s="10"/>
      <c r="G153" s="10"/>
      <c r="H153" s="5"/>
      <c r="I153" s="10"/>
      <c r="J153" s="10"/>
      <c r="K153" s="10" t="str">
        <f aca="false">IF(C153="","",IF(AND(A153&lt;&gt;"",B153&lt;&gt;""),"Completa","Incompleta"))</f>
        <v/>
      </c>
      <c r="L153" s="10" t="str">
        <f aca="false">IF(C153="","",IF(AND(D153&lt;&gt;"",E153&lt;&gt;"",F153&lt;&gt;"",G153&lt;&gt;"",H153&lt;&gt;""),"Completa","Incompleta"))</f>
        <v/>
      </c>
      <c r="M153" s="10" t="str">
        <f aca="false">IF(C153="","",IF(AND(K153="Completa",L153="Completa"),"Completa","Parcial"))</f>
        <v/>
      </c>
    </row>
    <row r="154" customFormat="false" ht="15" hidden="false" customHeight="false" outlineLevel="0" collapsed="false">
      <c r="A154" s="18"/>
      <c r="B154" s="10"/>
      <c r="C154" s="10"/>
      <c r="D154" s="10"/>
      <c r="E154" s="10"/>
      <c r="F154" s="10"/>
      <c r="G154" s="10"/>
      <c r="H154" s="5"/>
      <c r="I154" s="10"/>
      <c r="J154" s="10"/>
      <c r="K154" s="10" t="str">
        <f aca="false">IF(C154="","",IF(AND(A154&lt;&gt;"",B154&lt;&gt;""),"Completa","Incompleta"))</f>
        <v/>
      </c>
      <c r="L154" s="10" t="str">
        <f aca="false">IF(C154="","",IF(AND(D154&lt;&gt;"",E154&lt;&gt;"",F154&lt;&gt;"",G154&lt;&gt;"",H154&lt;&gt;""),"Completa","Incompleta"))</f>
        <v/>
      </c>
      <c r="M154" s="10" t="str">
        <f aca="false">IF(C154="","",IF(AND(K154="Completa",L154="Completa"),"Completa","Parcial"))</f>
        <v/>
      </c>
    </row>
    <row r="155" customFormat="false" ht="15" hidden="false" customHeight="false" outlineLevel="0" collapsed="false">
      <c r="A155" s="18"/>
      <c r="B155" s="10"/>
      <c r="C155" s="10"/>
      <c r="D155" s="10"/>
      <c r="E155" s="10"/>
      <c r="F155" s="10"/>
      <c r="G155" s="10"/>
      <c r="H155" s="5"/>
      <c r="I155" s="10"/>
      <c r="J155" s="10"/>
      <c r="K155" s="10" t="str">
        <f aca="false">IF(C155="","",IF(AND(A155&lt;&gt;"",B155&lt;&gt;""),"Completa","Incompleta"))</f>
        <v/>
      </c>
      <c r="L155" s="10" t="str">
        <f aca="false">IF(C155="","",IF(AND(D155&lt;&gt;"",E155&lt;&gt;"",F155&lt;&gt;"",G155&lt;&gt;"",H155&lt;&gt;""),"Completa","Incompleta"))</f>
        <v/>
      </c>
      <c r="M155" s="10" t="str">
        <f aca="false">IF(C155="","",IF(AND(K155="Completa",L155="Completa"),"Completa","Parcial"))</f>
        <v/>
      </c>
    </row>
    <row r="156" customFormat="false" ht="15" hidden="false" customHeight="false" outlineLevel="0" collapsed="false">
      <c r="A156" s="18"/>
      <c r="B156" s="10"/>
      <c r="C156" s="10"/>
      <c r="D156" s="10"/>
      <c r="E156" s="10"/>
      <c r="F156" s="10"/>
      <c r="G156" s="10"/>
      <c r="H156" s="5"/>
      <c r="I156" s="10"/>
      <c r="J156" s="10"/>
      <c r="K156" s="10" t="str">
        <f aca="false">IF(C156="","",IF(AND(A156&lt;&gt;"",B156&lt;&gt;""),"Completa","Incompleta"))</f>
        <v/>
      </c>
      <c r="L156" s="10" t="str">
        <f aca="false">IF(C156="","",IF(AND(D156&lt;&gt;"",E156&lt;&gt;"",F156&lt;&gt;"",G156&lt;&gt;"",H156&lt;&gt;""),"Completa","Incompleta"))</f>
        <v/>
      </c>
      <c r="M156" s="10" t="str">
        <f aca="false">IF(C156="","",IF(AND(K156="Completa",L156="Completa"),"Completa","Parcial"))</f>
        <v/>
      </c>
    </row>
    <row r="157" customFormat="false" ht="15" hidden="false" customHeight="false" outlineLevel="0" collapsed="false">
      <c r="A157" s="18"/>
      <c r="B157" s="10"/>
      <c r="C157" s="10"/>
      <c r="D157" s="10"/>
      <c r="E157" s="10"/>
      <c r="F157" s="10"/>
      <c r="G157" s="10"/>
      <c r="H157" s="5"/>
      <c r="I157" s="10"/>
      <c r="J157" s="10"/>
      <c r="K157" s="10" t="str">
        <f aca="false">IF(C157="","",IF(AND(A157&lt;&gt;"",B157&lt;&gt;""),"Completa","Incompleta"))</f>
        <v/>
      </c>
      <c r="L157" s="10" t="str">
        <f aca="false">IF(C157="","",IF(AND(D157&lt;&gt;"",E157&lt;&gt;"",F157&lt;&gt;"",G157&lt;&gt;"",H157&lt;&gt;""),"Completa","Incompleta"))</f>
        <v/>
      </c>
      <c r="M157" s="10" t="str">
        <f aca="false">IF(C157="","",IF(AND(K157="Completa",L157="Completa"),"Completa","Parcial"))</f>
        <v/>
      </c>
    </row>
    <row r="158" customFormat="false" ht="15" hidden="false" customHeight="false" outlineLevel="0" collapsed="false">
      <c r="A158" s="18"/>
      <c r="B158" s="10"/>
      <c r="C158" s="10"/>
      <c r="D158" s="10"/>
      <c r="E158" s="10"/>
      <c r="F158" s="10"/>
      <c r="G158" s="10"/>
      <c r="H158" s="5"/>
      <c r="I158" s="10"/>
      <c r="J158" s="10"/>
      <c r="K158" s="10" t="str">
        <f aca="false">IF(C158="","",IF(AND(A158&lt;&gt;"",B158&lt;&gt;""),"Completa","Incompleta"))</f>
        <v/>
      </c>
      <c r="L158" s="10" t="str">
        <f aca="false">IF(C158="","",IF(AND(D158&lt;&gt;"",E158&lt;&gt;"",F158&lt;&gt;"",G158&lt;&gt;"",H158&lt;&gt;""),"Completa","Incompleta"))</f>
        <v/>
      </c>
      <c r="M158" s="10" t="str">
        <f aca="false">IF(C158="","",IF(AND(K158="Completa",L158="Completa"),"Completa","Parcial"))</f>
        <v/>
      </c>
    </row>
    <row r="159" customFormat="false" ht="15" hidden="false" customHeight="false" outlineLevel="0" collapsed="false">
      <c r="A159" s="18"/>
      <c r="B159" s="10"/>
      <c r="C159" s="10"/>
      <c r="D159" s="10"/>
      <c r="E159" s="10"/>
      <c r="F159" s="10"/>
      <c r="G159" s="10"/>
      <c r="H159" s="5"/>
      <c r="I159" s="10"/>
      <c r="J159" s="10"/>
      <c r="K159" s="10" t="str">
        <f aca="false">IF(C159="","",IF(AND(A159&lt;&gt;"",B159&lt;&gt;""),"Completa","Incompleta"))</f>
        <v/>
      </c>
      <c r="L159" s="10" t="str">
        <f aca="false">IF(C159="","",IF(AND(D159&lt;&gt;"",E159&lt;&gt;"",F159&lt;&gt;"",G159&lt;&gt;"",H159&lt;&gt;""),"Completa","Incompleta"))</f>
        <v/>
      </c>
      <c r="M159" s="10" t="str">
        <f aca="false">IF(C159="","",IF(AND(K159="Completa",L159="Completa"),"Completa","Parcial"))</f>
        <v/>
      </c>
    </row>
    <row r="160" customFormat="false" ht="15" hidden="false" customHeight="false" outlineLevel="0" collapsed="false">
      <c r="A160" s="18"/>
      <c r="B160" s="10"/>
      <c r="C160" s="10"/>
      <c r="D160" s="10"/>
      <c r="E160" s="10"/>
      <c r="F160" s="10"/>
      <c r="G160" s="10"/>
      <c r="H160" s="5"/>
      <c r="I160" s="10"/>
      <c r="J160" s="10"/>
      <c r="K160" s="10" t="str">
        <f aca="false">IF(C160="","",IF(AND(A160&lt;&gt;"",B160&lt;&gt;""),"Completa","Incompleta"))</f>
        <v/>
      </c>
      <c r="L160" s="10" t="str">
        <f aca="false">IF(C160="","",IF(AND(D160&lt;&gt;"",E160&lt;&gt;"",F160&lt;&gt;"",G160&lt;&gt;"",H160&lt;&gt;""),"Completa","Incompleta"))</f>
        <v/>
      </c>
      <c r="M160" s="10" t="str">
        <f aca="false">IF(C160="","",IF(AND(K160="Completa",L160="Completa"),"Completa","Parcial"))</f>
        <v/>
      </c>
    </row>
    <row r="161" customFormat="false" ht="15" hidden="false" customHeight="false" outlineLevel="0" collapsed="false">
      <c r="A161" s="18"/>
      <c r="B161" s="10"/>
      <c r="C161" s="10"/>
      <c r="D161" s="10"/>
      <c r="E161" s="10"/>
      <c r="F161" s="10"/>
      <c r="G161" s="10"/>
      <c r="H161" s="5"/>
      <c r="I161" s="10"/>
      <c r="J161" s="10"/>
      <c r="K161" s="10" t="str">
        <f aca="false">IF(C161="","",IF(AND(A161&lt;&gt;"",B161&lt;&gt;""),"Completa","Incompleta"))</f>
        <v/>
      </c>
      <c r="L161" s="10" t="str">
        <f aca="false">IF(C161="","",IF(AND(D161&lt;&gt;"",E161&lt;&gt;"",F161&lt;&gt;"",G161&lt;&gt;"",H161&lt;&gt;""),"Completa","Incompleta"))</f>
        <v/>
      </c>
      <c r="M161" s="10" t="str">
        <f aca="false">IF(C161="","",IF(AND(K161="Completa",L161="Completa"),"Completa","Parcial"))</f>
        <v/>
      </c>
    </row>
    <row r="162" customFormat="false" ht="15" hidden="false" customHeight="false" outlineLevel="0" collapsed="false">
      <c r="A162" s="18"/>
      <c r="B162" s="10"/>
      <c r="C162" s="10"/>
      <c r="D162" s="10"/>
      <c r="E162" s="10"/>
      <c r="F162" s="10"/>
      <c r="G162" s="10"/>
      <c r="H162" s="5"/>
      <c r="I162" s="10"/>
      <c r="J162" s="10"/>
      <c r="K162" s="10" t="str">
        <f aca="false">IF(C162="","",IF(AND(A162&lt;&gt;"",B162&lt;&gt;""),"Completa","Incompleta"))</f>
        <v/>
      </c>
      <c r="L162" s="10" t="str">
        <f aca="false">IF(C162="","",IF(AND(D162&lt;&gt;"",E162&lt;&gt;"",F162&lt;&gt;"",G162&lt;&gt;"",H162&lt;&gt;""),"Completa","Incompleta"))</f>
        <v/>
      </c>
      <c r="M162" s="10" t="str">
        <f aca="false">IF(C162="","",IF(AND(K162="Completa",L162="Completa"),"Completa","Parcial"))</f>
        <v/>
      </c>
    </row>
    <row r="163" customFormat="false" ht="15" hidden="false" customHeight="false" outlineLevel="0" collapsed="false">
      <c r="A163" s="18"/>
      <c r="B163" s="10"/>
      <c r="C163" s="10"/>
      <c r="D163" s="10"/>
      <c r="E163" s="10"/>
      <c r="F163" s="10"/>
      <c r="G163" s="10"/>
      <c r="H163" s="5"/>
      <c r="I163" s="10"/>
      <c r="J163" s="10"/>
      <c r="K163" s="10" t="str">
        <f aca="false">IF(C163="","",IF(AND(A163&lt;&gt;"",B163&lt;&gt;""),"Completa","Incompleta"))</f>
        <v/>
      </c>
      <c r="L163" s="10" t="str">
        <f aca="false">IF(C163="","",IF(AND(D163&lt;&gt;"",E163&lt;&gt;"",F163&lt;&gt;"",G163&lt;&gt;"",H163&lt;&gt;""),"Completa","Incompleta"))</f>
        <v/>
      </c>
      <c r="M163" s="10" t="str">
        <f aca="false">IF(C163="","",IF(AND(K163="Completa",L163="Completa"),"Completa","Parcial"))</f>
        <v/>
      </c>
    </row>
    <row r="164" customFormat="false" ht="15" hidden="false" customHeight="false" outlineLevel="0" collapsed="false">
      <c r="A164" s="18"/>
      <c r="B164" s="10"/>
      <c r="C164" s="10"/>
      <c r="D164" s="10"/>
      <c r="E164" s="10"/>
      <c r="F164" s="10"/>
      <c r="G164" s="10"/>
      <c r="H164" s="5"/>
      <c r="I164" s="10"/>
      <c r="J164" s="10"/>
      <c r="K164" s="10" t="str">
        <f aca="false">IF(C164="","",IF(AND(A164&lt;&gt;"",B164&lt;&gt;""),"Completa","Incompleta"))</f>
        <v/>
      </c>
      <c r="L164" s="10" t="str">
        <f aca="false">IF(C164="","",IF(AND(D164&lt;&gt;"",E164&lt;&gt;"",F164&lt;&gt;"",G164&lt;&gt;"",H164&lt;&gt;""),"Completa","Incompleta"))</f>
        <v/>
      </c>
      <c r="M164" s="10" t="str">
        <f aca="false">IF(C164="","",IF(AND(K164="Completa",L164="Completa"),"Completa","Parcial"))</f>
        <v/>
      </c>
    </row>
    <row r="165" customFormat="false" ht="15" hidden="false" customHeight="false" outlineLevel="0" collapsed="false">
      <c r="A165" s="18"/>
      <c r="B165" s="10"/>
      <c r="C165" s="10"/>
      <c r="D165" s="10"/>
      <c r="E165" s="10"/>
      <c r="F165" s="10"/>
      <c r="G165" s="10"/>
      <c r="H165" s="5"/>
      <c r="I165" s="10"/>
      <c r="J165" s="10"/>
      <c r="K165" s="10" t="str">
        <f aca="false">IF(C165="","",IF(AND(A165&lt;&gt;"",B165&lt;&gt;""),"Completa","Incompleta"))</f>
        <v/>
      </c>
      <c r="L165" s="10" t="str">
        <f aca="false">IF(C165="","",IF(AND(D165&lt;&gt;"",E165&lt;&gt;"",F165&lt;&gt;"",G165&lt;&gt;"",H165&lt;&gt;""),"Completa","Incompleta"))</f>
        <v/>
      </c>
      <c r="M165" s="10" t="str">
        <f aca="false">IF(C165="","",IF(AND(K165="Completa",L165="Completa"),"Completa","Parcial"))</f>
        <v/>
      </c>
    </row>
    <row r="166" customFormat="false" ht="15" hidden="false" customHeight="false" outlineLevel="0" collapsed="false">
      <c r="A166" s="18"/>
      <c r="B166" s="10"/>
      <c r="C166" s="10"/>
      <c r="D166" s="10"/>
      <c r="E166" s="10"/>
      <c r="F166" s="10"/>
      <c r="G166" s="10"/>
      <c r="H166" s="5"/>
      <c r="I166" s="10"/>
      <c r="J166" s="10"/>
      <c r="K166" s="10" t="str">
        <f aca="false">IF(C166="","",IF(AND(A166&lt;&gt;"",B166&lt;&gt;""),"Completa","Incompleta"))</f>
        <v/>
      </c>
      <c r="L166" s="10" t="str">
        <f aca="false">IF(C166="","",IF(AND(D166&lt;&gt;"",E166&lt;&gt;"",F166&lt;&gt;"",G166&lt;&gt;"",H166&lt;&gt;""),"Completa","Incompleta"))</f>
        <v/>
      </c>
      <c r="M166" s="10" t="str">
        <f aca="false">IF(C166="","",IF(AND(K166="Completa",L166="Completa"),"Completa","Parcial"))</f>
        <v/>
      </c>
    </row>
    <row r="167" customFormat="false" ht="15" hidden="false" customHeight="false" outlineLevel="0" collapsed="false">
      <c r="A167" s="18"/>
      <c r="B167" s="10"/>
      <c r="C167" s="10"/>
      <c r="D167" s="10"/>
      <c r="E167" s="10"/>
      <c r="F167" s="10"/>
      <c r="G167" s="10"/>
      <c r="H167" s="5"/>
      <c r="I167" s="10"/>
      <c r="J167" s="10"/>
      <c r="K167" s="10" t="str">
        <f aca="false">IF(C167="","",IF(AND(A167&lt;&gt;"",B167&lt;&gt;""),"Completa","Incompleta"))</f>
        <v/>
      </c>
      <c r="L167" s="10" t="str">
        <f aca="false">IF(C167="","",IF(AND(D167&lt;&gt;"",E167&lt;&gt;"",F167&lt;&gt;"",G167&lt;&gt;"",H167&lt;&gt;""),"Completa","Incompleta"))</f>
        <v/>
      </c>
      <c r="M167" s="10" t="str">
        <f aca="false">IF(C167="","",IF(AND(K167="Completa",L167="Completa"),"Completa","Parcial"))</f>
        <v/>
      </c>
    </row>
    <row r="168" customFormat="false" ht="15" hidden="false" customHeight="false" outlineLevel="0" collapsed="false">
      <c r="A168" s="18"/>
      <c r="B168" s="10"/>
      <c r="C168" s="10"/>
      <c r="D168" s="10"/>
      <c r="E168" s="10"/>
      <c r="F168" s="10"/>
      <c r="G168" s="10"/>
      <c r="H168" s="5"/>
      <c r="I168" s="10"/>
      <c r="J168" s="10"/>
      <c r="K168" s="10" t="str">
        <f aca="false">IF(C168="","",IF(AND(A168&lt;&gt;"",B168&lt;&gt;""),"Completa","Incompleta"))</f>
        <v/>
      </c>
      <c r="L168" s="10" t="str">
        <f aca="false">IF(C168="","",IF(AND(D168&lt;&gt;"",E168&lt;&gt;"",F168&lt;&gt;"",G168&lt;&gt;"",H168&lt;&gt;""),"Completa","Incompleta"))</f>
        <v/>
      </c>
      <c r="M168" s="10" t="str">
        <f aca="false">IF(C168="","",IF(AND(K168="Completa",L168="Completa"),"Completa","Parcial"))</f>
        <v/>
      </c>
    </row>
    <row r="169" customFormat="false" ht="15" hidden="false" customHeight="false" outlineLevel="0" collapsed="false">
      <c r="A169" s="18"/>
      <c r="B169" s="10"/>
      <c r="C169" s="10"/>
      <c r="D169" s="10"/>
      <c r="E169" s="10"/>
      <c r="F169" s="10"/>
      <c r="G169" s="10"/>
      <c r="H169" s="5"/>
      <c r="I169" s="10"/>
      <c r="J169" s="10"/>
      <c r="K169" s="10" t="str">
        <f aca="false">IF(C169="","",IF(AND(A169&lt;&gt;"",B169&lt;&gt;""),"Completa","Incompleta"))</f>
        <v/>
      </c>
      <c r="L169" s="10" t="str">
        <f aca="false">IF(C169="","",IF(AND(D169&lt;&gt;"",E169&lt;&gt;"",F169&lt;&gt;"",G169&lt;&gt;"",H169&lt;&gt;""),"Completa","Incompleta"))</f>
        <v/>
      </c>
      <c r="M169" s="10" t="str">
        <f aca="false">IF(C169="","",IF(AND(K169="Completa",L169="Completa"),"Completa","Parcial"))</f>
        <v/>
      </c>
    </row>
    <row r="170" customFormat="false" ht="15" hidden="false" customHeight="false" outlineLevel="0" collapsed="false">
      <c r="A170" s="18"/>
      <c r="B170" s="10"/>
      <c r="C170" s="10"/>
      <c r="D170" s="10"/>
      <c r="E170" s="10"/>
      <c r="F170" s="10"/>
      <c r="G170" s="10"/>
      <c r="H170" s="5"/>
      <c r="I170" s="10"/>
      <c r="J170" s="10"/>
      <c r="K170" s="10" t="str">
        <f aca="false">IF(C170="","",IF(AND(A170&lt;&gt;"",B170&lt;&gt;""),"Completa","Incompleta"))</f>
        <v/>
      </c>
      <c r="L170" s="10" t="str">
        <f aca="false">IF(C170="","",IF(AND(D170&lt;&gt;"",E170&lt;&gt;"",F170&lt;&gt;"",G170&lt;&gt;"",H170&lt;&gt;""),"Completa","Incompleta"))</f>
        <v/>
      </c>
      <c r="M170" s="10" t="str">
        <f aca="false">IF(C170="","",IF(AND(K170="Completa",L170="Completa"),"Completa","Parcial"))</f>
        <v/>
      </c>
    </row>
    <row r="171" customFormat="false" ht="15" hidden="false" customHeight="false" outlineLevel="0" collapsed="false">
      <c r="A171" s="18"/>
      <c r="B171" s="10"/>
      <c r="C171" s="10"/>
      <c r="D171" s="10"/>
      <c r="E171" s="10"/>
      <c r="F171" s="10"/>
      <c r="G171" s="10"/>
      <c r="H171" s="5"/>
      <c r="I171" s="10"/>
      <c r="J171" s="10"/>
      <c r="K171" s="10" t="str">
        <f aca="false">IF(C171="","",IF(AND(A171&lt;&gt;"",B171&lt;&gt;""),"Completa","Incompleta"))</f>
        <v/>
      </c>
      <c r="L171" s="10" t="str">
        <f aca="false">IF(C171="","",IF(AND(D171&lt;&gt;"",E171&lt;&gt;"",F171&lt;&gt;"",G171&lt;&gt;"",H171&lt;&gt;""),"Completa","Incompleta"))</f>
        <v/>
      </c>
      <c r="M171" s="10" t="str">
        <f aca="false">IF(C171="","",IF(AND(K171="Completa",L171="Completa"),"Completa","Parcial"))</f>
        <v/>
      </c>
    </row>
    <row r="172" customFormat="false" ht="15" hidden="false" customHeight="false" outlineLevel="0" collapsed="false">
      <c r="A172" s="18"/>
      <c r="B172" s="10"/>
      <c r="C172" s="10"/>
      <c r="D172" s="10"/>
      <c r="E172" s="10"/>
      <c r="F172" s="10"/>
      <c r="G172" s="10"/>
      <c r="H172" s="5"/>
      <c r="I172" s="10"/>
      <c r="J172" s="10"/>
      <c r="K172" s="10" t="str">
        <f aca="false">IF(C172="","",IF(AND(A172&lt;&gt;"",B172&lt;&gt;""),"Completa","Incompleta"))</f>
        <v/>
      </c>
      <c r="L172" s="10" t="str">
        <f aca="false">IF(C172="","",IF(AND(D172&lt;&gt;"",E172&lt;&gt;"",F172&lt;&gt;"",G172&lt;&gt;"",H172&lt;&gt;""),"Completa","Incompleta"))</f>
        <v/>
      </c>
      <c r="M172" s="10" t="str">
        <f aca="false">IF(C172="","",IF(AND(K172="Completa",L172="Completa"),"Completa","Parcial"))</f>
        <v/>
      </c>
    </row>
    <row r="173" customFormat="false" ht="15" hidden="false" customHeight="false" outlineLevel="0" collapsed="false">
      <c r="A173" s="18"/>
      <c r="B173" s="10"/>
      <c r="C173" s="10"/>
      <c r="D173" s="10"/>
      <c r="E173" s="10"/>
      <c r="F173" s="10"/>
      <c r="G173" s="10"/>
      <c r="H173" s="5"/>
      <c r="I173" s="10"/>
      <c r="J173" s="10"/>
      <c r="K173" s="10" t="str">
        <f aca="false">IF(C173="","",IF(AND(A173&lt;&gt;"",B173&lt;&gt;""),"Completa","Incompleta"))</f>
        <v/>
      </c>
      <c r="L173" s="10" t="str">
        <f aca="false">IF(C173="","",IF(AND(D173&lt;&gt;"",E173&lt;&gt;"",F173&lt;&gt;"",G173&lt;&gt;"",H173&lt;&gt;""),"Completa","Incompleta"))</f>
        <v/>
      </c>
      <c r="M173" s="10" t="str">
        <f aca="false">IF(C173="","",IF(AND(K173="Completa",L173="Completa"),"Completa","Parcial"))</f>
        <v/>
      </c>
    </row>
    <row r="174" customFormat="false" ht="15" hidden="false" customHeight="false" outlineLevel="0" collapsed="false">
      <c r="A174" s="18"/>
      <c r="B174" s="10"/>
      <c r="C174" s="10"/>
      <c r="D174" s="10"/>
      <c r="E174" s="10"/>
      <c r="F174" s="10"/>
      <c r="G174" s="10"/>
      <c r="H174" s="5"/>
      <c r="I174" s="10"/>
      <c r="J174" s="10"/>
      <c r="K174" s="10" t="str">
        <f aca="false">IF(C174="","",IF(AND(A174&lt;&gt;"",B174&lt;&gt;""),"Completa","Incompleta"))</f>
        <v/>
      </c>
      <c r="L174" s="10" t="str">
        <f aca="false">IF(C174="","",IF(AND(D174&lt;&gt;"",E174&lt;&gt;"",F174&lt;&gt;"",G174&lt;&gt;"",H174&lt;&gt;""),"Completa","Incompleta"))</f>
        <v/>
      </c>
      <c r="M174" s="10" t="str">
        <f aca="false">IF(C174="","",IF(AND(K174="Completa",L174="Completa"),"Completa","Parcial"))</f>
        <v/>
      </c>
    </row>
    <row r="175" customFormat="false" ht="15" hidden="false" customHeight="false" outlineLevel="0" collapsed="false">
      <c r="A175" s="18"/>
      <c r="B175" s="10"/>
      <c r="C175" s="10"/>
      <c r="D175" s="10"/>
      <c r="E175" s="10"/>
      <c r="F175" s="10"/>
      <c r="G175" s="10"/>
      <c r="H175" s="5"/>
      <c r="I175" s="10"/>
      <c r="J175" s="10"/>
      <c r="K175" s="10" t="str">
        <f aca="false">IF(C175="","",IF(AND(A175&lt;&gt;"",B175&lt;&gt;""),"Completa","Incompleta"))</f>
        <v/>
      </c>
      <c r="L175" s="10" t="str">
        <f aca="false">IF(C175="","",IF(AND(D175&lt;&gt;"",E175&lt;&gt;"",F175&lt;&gt;"",G175&lt;&gt;"",H175&lt;&gt;""),"Completa","Incompleta"))</f>
        <v/>
      </c>
      <c r="M175" s="10" t="str">
        <f aca="false">IF(C175="","",IF(AND(K175="Completa",L175="Completa"),"Completa","Parcial"))</f>
        <v/>
      </c>
    </row>
    <row r="176" customFormat="false" ht="15" hidden="false" customHeight="false" outlineLevel="0" collapsed="false">
      <c r="A176" s="18"/>
      <c r="B176" s="10"/>
      <c r="C176" s="10"/>
      <c r="D176" s="10"/>
      <c r="E176" s="10"/>
      <c r="F176" s="10"/>
      <c r="G176" s="10"/>
      <c r="H176" s="5"/>
      <c r="I176" s="10"/>
      <c r="J176" s="10"/>
      <c r="K176" s="10" t="str">
        <f aca="false">IF(C176="","",IF(AND(A176&lt;&gt;"",B176&lt;&gt;""),"Completa","Incompleta"))</f>
        <v/>
      </c>
      <c r="L176" s="10" t="str">
        <f aca="false">IF(C176="","",IF(AND(D176&lt;&gt;"",E176&lt;&gt;"",F176&lt;&gt;"",G176&lt;&gt;"",H176&lt;&gt;""),"Completa","Incompleta"))</f>
        <v/>
      </c>
      <c r="M176" s="10" t="str">
        <f aca="false">IF(C176="","",IF(AND(K176="Completa",L176="Completa"),"Completa","Parcial"))</f>
        <v/>
      </c>
    </row>
    <row r="177" customFormat="false" ht="15" hidden="false" customHeight="false" outlineLevel="0" collapsed="false">
      <c r="A177" s="18"/>
      <c r="B177" s="10"/>
      <c r="C177" s="10"/>
      <c r="D177" s="10"/>
      <c r="E177" s="10"/>
      <c r="F177" s="10"/>
      <c r="G177" s="10"/>
      <c r="H177" s="5"/>
      <c r="I177" s="10"/>
      <c r="J177" s="10"/>
      <c r="K177" s="10" t="str">
        <f aca="false">IF(C177="","",IF(AND(A177&lt;&gt;"",B177&lt;&gt;""),"Completa","Incompleta"))</f>
        <v/>
      </c>
      <c r="L177" s="10" t="str">
        <f aca="false">IF(C177="","",IF(AND(D177&lt;&gt;"",E177&lt;&gt;"",F177&lt;&gt;"",G177&lt;&gt;"",H177&lt;&gt;""),"Completa","Incompleta"))</f>
        <v/>
      </c>
      <c r="M177" s="10" t="str">
        <f aca="false">IF(C177="","",IF(AND(K177="Completa",L177="Completa"),"Completa","Parcial"))</f>
        <v/>
      </c>
    </row>
    <row r="178" customFormat="false" ht="15" hidden="false" customHeight="false" outlineLevel="0" collapsed="false">
      <c r="A178" s="18"/>
      <c r="B178" s="10"/>
      <c r="C178" s="10"/>
      <c r="D178" s="10"/>
      <c r="E178" s="10"/>
      <c r="F178" s="10"/>
      <c r="G178" s="10"/>
      <c r="H178" s="5"/>
      <c r="I178" s="10"/>
      <c r="J178" s="10"/>
      <c r="K178" s="10" t="str">
        <f aca="false">IF(C178="","",IF(AND(A178&lt;&gt;"",B178&lt;&gt;""),"Completa","Incompleta"))</f>
        <v/>
      </c>
      <c r="L178" s="10" t="str">
        <f aca="false">IF(C178="","",IF(AND(D178&lt;&gt;"",E178&lt;&gt;"",F178&lt;&gt;"",G178&lt;&gt;"",H178&lt;&gt;""),"Completa","Incompleta"))</f>
        <v/>
      </c>
      <c r="M178" s="10" t="str">
        <f aca="false">IF(C178="","",IF(AND(K178="Completa",L178="Completa"),"Completa","Parcial"))</f>
        <v/>
      </c>
    </row>
    <row r="179" customFormat="false" ht="15" hidden="false" customHeight="false" outlineLevel="0" collapsed="false">
      <c r="A179" s="18"/>
      <c r="B179" s="10"/>
      <c r="C179" s="10"/>
      <c r="D179" s="10"/>
      <c r="E179" s="10"/>
      <c r="F179" s="10"/>
      <c r="G179" s="10"/>
      <c r="H179" s="5"/>
      <c r="I179" s="10"/>
      <c r="J179" s="10"/>
      <c r="K179" s="10" t="str">
        <f aca="false">IF(C179="","",IF(AND(A179&lt;&gt;"",B179&lt;&gt;""),"Completa","Incompleta"))</f>
        <v/>
      </c>
      <c r="L179" s="10" t="str">
        <f aca="false">IF(C179="","",IF(AND(D179&lt;&gt;"",E179&lt;&gt;"",F179&lt;&gt;"",G179&lt;&gt;"",H179&lt;&gt;""),"Completa","Incompleta"))</f>
        <v/>
      </c>
      <c r="M179" s="10" t="str">
        <f aca="false">IF(C179="","",IF(AND(K179="Completa",L179="Completa"),"Completa","Parcial"))</f>
        <v/>
      </c>
    </row>
    <row r="180" customFormat="false" ht="15" hidden="false" customHeight="false" outlineLevel="0" collapsed="false">
      <c r="A180" s="18"/>
      <c r="B180" s="10"/>
      <c r="C180" s="10"/>
      <c r="D180" s="10"/>
      <c r="E180" s="10"/>
      <c r="F180" s="10"/>
      <c r="G180" s="10"/>
      <c r="H180" s="5"/>
      <c r="I180" s="10"/>
      <c r="J180" s="10"/>
      <c r="K180" s="10" t="str">
        <f aca="false">IF(C180="","",IF(AND(A180&lt;&gt;"",B180&lt;&gt;""),"Completa","Incompleta"))</f>
        <v/>
      </c>
      <c r="L180" s="10" t="str">
        <f aca="false">IF(C180="","",IF(AND(D180&lt;&gt;"",E180&lt;&gt;"",F180&lt;&gt;"",G180&lt;&gt;"",H180&lt;&gt;""),"Completa","Incompleta"))</f>
        <v/>
      </c>
      <c r="M180" s="10" t="str">
        <f aca="false">IF(C180="","",IF(AND(K180="Completa",L180="Completa"),"Completa","Parcial"))</f>
        <v/>
      </c>
    </row>
    <row r="181" customFormat="false" ht="15" hidden="false" customHeight="false" outlineLevel="0" collapsed="false">
      <c r="A181" s="18"/>
      <c r="B181" s="10"/>
      <c r="C181" s="10"/>
      <c r="D181" s="10"/>
      <c r="E181" s="10"/>
      <c r="F181" s="10"/>
      <c r="G181" s="10"/>
      <c r="H181" s="5"/>
      <c r="I181" s="10"/>
      <c r="J181" s="10"/>
      <c r="K181" s="10" t="str">
        <f aca="false">IF(C181="","",IF(AND(A181&lt;&gt;"",B181&lt;&gt;""),"Completa","Incompleta"))</f>
        <v/>
      </c>
      <c r="L181" s="10" t="str">
        <f aca="false">IF(C181="","",IF(AND(D181&lt;&gt;"",E181&lt;&gt;"",F181&lt;&gt;"",G181&lt;&gt;"",H181&lt;&gt;""),"Completa","Incompleta"))</f>
        <v/>
      </c>
      <c r="M181" s="10" t="str">
        <f aca="false">IF(C181="","",IF(AND(K181="Completa",L181="Completa"),"Completa","Parcial"))</f>
        <v/>
      </c>
    </row>
    <row r="182" customFormat="false" ht="15" hidden="false" customHeight="false" outlineLevel="0" collapsed="false">
      <c r="A182" s="18"/>
      <c r="B182" s="10"/>
      <c r="C182" s="10"/>
      <c r="D182" s="10"/>
      <c r="E182" s="10"/>
      <c r="F182" s="10"/>
      <c r="G182" s="10"/>
      <c r="H182" s="5"/>
      <c r="I182" s="10"/>
      <c r="J182" s="10"/>
      <c r="K182" s="10" t="str">
        <f aca="false">IF(C182="","",IF(AND(A182&lt;&gt;"",B182&lt;&gt;""),"Completa","Incompleta"))</f>
        <v/>
      </c>
      <c r="L182" s="10" t="str">
        <f aca="false">IF(C182="","",IF(AND(D182&lt;&gt;"",E182&lt;&gt;"",F182&lt;&gt;"",G182&lt;&gt;"",H182&lt;&gt;""),"Completa","Incompleta"))</f>
        <v/>
      </c>
      <c r="M182" s="10" t="str">
        <f aca="false">IF(C182="","",IF(AND(K182="Completa",L182="Completa"),"Completa","Parcial"))</f>
        <v/>
      </c>
    </row>
    <row r="183" customFormat="false" ht="15" hidden="false" customHeight="false" outlineLevel="0" collapsed="false">
      <c r="A183" s="18"/>
      <c r="B183" s="10"/>
      <c r="C183" s="10"/>
      <c r="D183" s="10"/>
      <c r="E183" s="10"/>
      <c r="F183" s="10"/>
      <c r="G183" s="10"/>
      <c r="H183" s="5"/>
      <c r="I183" s="10"/>
      <c r="J183" s="10"/>
      <c r="K183" s="10" t="str">
        <f aca="false">IF(C183="","",IF(AND(A183&lt;&gt;"",B183&lt;&gt;""),"Completa","Incompleta"))</f>
        <v/>
      </c>
      <c r="L183" s="10" t="str">
        <f aca="false">IF(C183="","",IF(AND(D183&lt;&gt;"",E183&lt;&gt;"",F183&lt;&gt;"",G183&lt;&gt;"",H183&lt;&gt;""),"Completa","Incompleta"))</f>
        <v/>
      </c>
      <c r="M183" s="10" t="str">
        <f aca="false">IF(C183="","",IF(AND(K183="Completa",L183="Completa"),"Completa","Parcial"))</f>
        <v/>
      </c>
    </row>
    <row r="184" customFormat="false" ht="15" hidden="false" customHeight="false" outlineLevel="0" collapsed="false">
      <c r="A184" s="18"/>
      <c r="B184" s="10"/>
      <c r="C184" s="10"/>
      <c r="D184" s="10"/>
      <c r="E184" s="10"/>
      <c r="F184" s="10"/>
      <c r="G184" s="10"/>
      <c r="H184" s="5"/>
      <c r="I184" s="10"/>
      <c r="J184" s="10"/>
      <c r="K184" s="10" t="str">
        <f aca="false">IF(C184="","",IF(AND(A184&lt;&gt;"",B184&lt;&gt;""),"Completa","Incompleta"))</f>
        <v/>
      </c>
      <c r="L184" s="10" t="str">
        <f aca="false">IF(C184="","",IF(AND(D184&lt;&gt;"",E184&lt;&gt;"",F184&lt;&gt;"",G184&lt;&gt;"",H184&lt;&gt;""),"Completa","Incompleta"))</f>
        <v/>
      </c>
      <c r="M184" s="10" t="str">
        <f aca="false">IF(C184="","",IF(AND(K184="Completa",L184="Completa"),"Completa","Parcial"))</f>
        <v/>
      </c>
    </row>
    <row r="185" customFormat="false" ht="15" hidden="false" customHeight="false" outlineLevel="0" collapsed="false">
      <c r="A185" s="18"/>
      <c r="B185" s="10"/>
      <c r="C185" s="10"/>
      <c r="D185" s="10"/>
      <c r="E185" s="10"/>
      <c r="F185" s="10"/>
      <c r="G185" s="10"/>
      <c r="H185" s="5"/>
      <c r="I185" s="10"/>
      <c r="J185" s="10"/>
      <c r="K185" s="10" t="str">
        <f aca="false">IF(C185="","",IF(AND(A185&lt;&gt;"",B185&lt;&gt;""),"Completa","Incompleta"))</f>
        <v/>
      </c>
      <c r="L185" s="10" t="str">
        <f aca="false">IF(C185="","",IF(AND(D185&lt;&gt;"",E185&lt;&gt;"",F185&lt;&gt;"",G185&lt;&gt;"",H185&lt;&gt;""),"Completa","Incompleta"))</f>
        <v/>
      </c>
      <c r="M185" s="10" t="str">
        <f aca="false">IF(C185="","",IF(AND(K185="Completa",L185="Completa"),"Completa","Parcial"))</f>
        <v/>
      </c>
    </row>
    <row r="186" customFormat="false" ht="15" hidden="false" customHeight="false" outlineLevel="0" collapsed="false">
      <c r="A186" s="18"/>
      <c r="B186" s="10"/>
      <c r="C186" s="10"/>
      <c r="D186" s="10"/>
      <c r="E186" s="10"/>
      <c r="F186" s="10"/>
      <c r="G186" s="10"/>
      <c r="H186" s="5"/>
      <c r="I186" s="10"/>
      <c r="J186" s="10"/>
      <c r="K186" s="10" t="str">
        <f aca="false">IF(C186="","",IF(AND(A186&lt;&gt;"",B186&lt;&gt;""),"Completa","Incompleta"))</f>
        <v/>
      </c>
      <c r="L186" s="10" t="str">
        <f aca="false">IF(C186="","",IF(AND(D186&lt;&gt;"",E186&lt;&gt;"",F186&lt;&gt;"",G186&lt;&gt;"",H186&lt;&gt;""),"Completa","Incompleta"))</f>
        <v/>
      </c>
      <c r="M186" s="10" t="str">
        <f aca="false">IF(C186="","",IF(AND(K186="Completa",L186="Completa"),"Completa","Parcial"))</f>
        <v/>
      </c>
    </row>
    <row r="187" customFormat="false" ht="15" hidden="false" customHeight="false" outlineLevel="0" collapsed="false">
      <c r="A187" s="18"/>
      <c r="B187" s="10"/>
      <c r="C187" s="10"/>
      <c r="D187" s="10"/>
      <c r="E187" s="10"/>
      <c r="F187" s="10"/>
      <c r="G187" s="10"/>
      <c r="H187" s="5"/>
      <c r="I187" s="10"/>
      <c r="J187" s="10"/>
      <c r="K187" s="10" t="str">
        <f aca="false">IF(C187="","",IF(AND(A187&lt;&gt;"",B187&lt;&gt;""),"Completa","Incompleta"))</f>
        <v/>
      </c>
      <c r="L187" s="10" t="str">
        <f aca="false">IF(C187="","",IF(AND(D187&lt;&gt;"",E187&lt;&gt;"",F187&lt;&gt;"",G187&lt;&gt;"",H187&lt;&gt;""),"Completa","Incompleta"))</f>
        <v/>
      </c>
      <c r="M187" s="10" t="str">
        <f aca="false">IF(C187="","",IF(AND(K187="Completa",L187="Completa"),"Completa","Parcial"))</f>
        <v/>
      </c>
    </row>
    <row r="188" customFormat="false" ht="15" hidden="false" customHeight="false" outlineLevel="0" collapsed="false">
      <c r="A188" s="18"/>
      <c r="B188" s="10"/>
      <c r="C188" s="10"/>
      <c r="D188" s="10"/>
      <c r="E188" s="10"/>
      <c r="F188" s="10"/>
      <c r="G188" s="10"/>
      <c r="H188" s="5"/>
      <c r="I188" s="10"/>
      <c r="J188" s="10"/>
      <c r="K188" s="10" t="str">
        <f aca="false">IF(C188="","",IF(AND(A188&lt;&gt;"",B188&lt;&gt;""),"Completa","Incompleta"))</f>
        <v/>
      </c>
      <c r="L188" s="10" t="str">
        <f aca="false">IF(C188="","",IF(AND(D188&lt;&gt;"",E188&lt;&gt;"",F188&lt;&gt;"",G188&lt;&gt;"",H188&lt;&gt;""),"Completa","Incompleta"))</f>
        <v/>
      </c>
      <c r="M188" s="10" t="str">
        <f aca="false">IF(C188="","",IF(AND(K188="Completa",L188="Completa"),"Completa","Parcial"))</f>
        <v/>
      </c>
    </row>
    <row r="189" customFormat="false" ht="15" hidden="false" customHeight="false" outlineLevel="0" collapsed="false">
      <c r="A189" s="18"/>
      <c r="B189" s="10"/>
      <c r="C189" s="10"/>
      <c r="D189" s="10"/>
      <c r="E189" s="10"/>
      <c r="F189" s="10"/>
      <c r="G189" s="10"/>
      <c r="H189" s="5"/>
      <c r="I189" s="10"/>
      <c r="J189" s="10"/>
      <c r="K189" s="10" t="str">
        <f aca="false">IF(C189="","",IF(AND(A189&lt;&gt;"",B189&lt;&gt;""),"Completa","Incompleta"))</f>
        <v/>
      </c>
      <c r="L189" s="10" t="str">
        <f aca="false">IF(C189="","",IF(AND(D189&lt;&gt;"",E189&lt;&gt;"",F189&lt;&gt;"",G189&lt;&gt;"",H189&lt;&gt;""),"Completa","Incompleta"))</f>
        <v/>
      </c>
      <c r="M189" s="10" t="str">
        <f aca="false">IF(C189="","",IF(AND(K189="Completa",L189="Completa"),"Completa","Parcial"))</f>
        <v/>
      </c>
    </row>
    <row r="190" customFormat="false" ht="15" hidden="false" customHeight="false" outlineLevel="0" collapsed="false">
      <c r="A190" s="18"/>
      <c r="B190" s="10"/>
      <c r="C190" s="10"/>
      <c r="D190" s="10"/>
      <c r="E190" s="10"/>
      <c r="F190" s="10"/>
      <c r="G190" s="10"/>
      <c r="H190" s="5"/>
      <c r="I190" s="10"/>
      <c r="J190" s="10"/>
      <c r="K190" s="10" t="str">
        <f aca="false">IF(C190="","",IF(AND(A190&lt;&gt;"",B190&lt;&gt;""),"Completa","Incompleta"))</f>
        <v/>
      </c>
      <c r="L190" s="10" t="str">
        <f aca="false">IF(C190="","",IF(AND(D190&lt;&gt;"",E190&lt;&gt;"",F190&lt;&gt;"",G190&lt;&gt;"",H190&lt;&gt;""),"Completa","Incompleta"))</f>
        <v/>
      </c>
      <c r="M190" s="10" t="str">
        <f aca="false">IF(C190="","",IF(AND(K190="Completa",L190="Completa"),"Completa","Parcial"))</f>
        <v/>
      </c>
    </row>
    <row r="191" customFormat="false" ht="15" hidden="false" customHeight="false" outlineLevel="0" collapsed="false">
      <c r="A191" s="18"/>
      <c r="B191" s="10"/>
      <c r="C191" s="10"/>
      <c r="D191" s="10"/>
      <c r="E191" s="10"/>
      <c r="F191" s="10"/>
      <c r="G191" s="10"/>
      <c r="H191" s="5"/>
      <c r="I191" s="10"/>
      <c r="J191" s="10"/>
      <c r="K191" s="10" t="str">
        <f aca="false">IF(C191="","",IF(AND(A191&lt;&gt;"",B191&lt;&gt;""),"Completa","Incompleta"))</f>
        <v/>
      </c>
      <c r="L191" s="10" t="str">
        <f aca="false">IF(C191="","",IF(AND(D191&lt;&gt;"",E191&lt;&gt;"",F191&lt;&gt;"",G191&lt;&gt;"",H191&lt;&gt;""),"Completa","Incompleta"))</f>
        <v/>
      </c>
      <c r="M191" s="10" t="str">
        <f aca="false">IF(C191="","",IF(AND(K191="Completa",L191="Completa"),"Completa","Parcial"))</f>
        <v/>
      </c>
    </row>
    <row r="192" customFormat="false" ht="15" hidden="false" customHeight="false" outlineLevel="0" collapsed="false">
      <c r="A192" s="18"/>
      <c r="B192" s="10"/>
      <c r="C192" s="10"/>
      <c r="D192" s="10"/>
      <c r="E192" s="10"/>
      <c r="F192" s="10"/>
      <c r="G192" s="10"/>
      <c r="H192" s="5"/>
      <c r="I192" s="10"/>
      <c r="J192" s="10"/>
      <c r="K192" s="10" t="str">
        <f aca="false">IF(C192="","",IF(AND(A192&lt;&gt;"",B192&lt;&gt;""),"Completa","Incompleta"))</f>
        <v/>
      </c>
      <c r="L192" s="10" t="str">
        <f aca="false">IF(C192="","",IF(AND(D192&lt;&gt;"",E192&lt;&gt;"",F192&lt;&gt;"",G192&lt;&gt;"",H192&lt;&gt;""),"Completa","Incompleta"))</f>
        <v/>
      </c>
      <c r="M192" s="10" t="str">
        <f aca="false">IF(C192="","",IF(AND(K192="Completa",L192="Completa"),"Completa","Parcial"))</f>
        <v/>
      </c>
    </row>
    <row r="193" customFormat="false" ht="15" hidden="false" customHeight="false" outlineLevel="0" collapsed="false">
      <c r="A193" s="18"/>
      <c r="B193" s="10"/>
      <c r="C193" s="10"/>
      <c r="D193" s="10"/>
      <c r="E193" s="10"/>
      <c r="F193" s="10"/>
      <c r="G193" s="10"/>
      <c r="H193" s="5"/>
      <c r="I193" s="10"/>
      <c r="J193" s="10"/>
      <c r="K193" s="10" t="str">
        <f aca="false">IF(C193="","",IF(AND(A193&lt;&gt;"",B193&lt;&gt;""),"Completa","Incompleta"))</f>
        <v/>
      </c>
      <c r="L193" s="10" t="str">
        <f aca="false">IF(C193="","",IF(AND(D193&lt;&gt;"",E193&lt;&gt;"",F193&lt;&gt;"",G193&lt;&gt;"",H193&lt;&gt;""),"Completa","Incompleta"))</f>
        <v/>
      </c>
      <c r="M193" s="10" t="str">
        <f aca="false">IF(C193="","",IF(AND(K193="Completa",L193="Completa"),"Completa","Parcial"))</f>
        <v/>
      </c>
    </row>
    <row r="194" customFormat="false" ht="15" hidden="false" customHeight="false" outlineLevel="0" collapsed="false">
      <c r="A194" s="18"/>
      <c r="B194" s="10"/>
      <c r="C194" s="10"/>
      <c r="D194" s="10"/>
      <c r="E194" s="10"/>
      <c r="F194" s="10"/>
      <c r="G194" s="10"/>
      <c r="H194" s="5"/>
      <c r="I194" s="10"/>
      <c r="J194" s="10"/>
      <c r="K194" s="10" t="str">
        <f aca="false">IF(C194="","",IF(AND(A194&lt;&gt;"",B194&lt;&gt;""),"Completa","Incompleta"))</f>
        <v/>
      </c>
      <c r="L194" s="10" t="str">
        <f aca="false">IF(C194="","",IF(AND(D194&lt;&gt;"",E194&lt;&gt;"",F194&lt;&gt;"",G194&lt;&gt;"",H194&lt;&gt;""),"Completa","Incompleta"))</f>
        <v/>
      </c>
      <c r="M194" s="10" t="str">
        <f aca="false">IF(C194="","",IF(AND(K194="Completa",L194="Completa"),"Completa","Parcial"))</f>
        <v/>
      </c>
    </row>
    <row r="195" customFormat="false" ht="15" hidden="false" customHeight="false" outlineLevel="0" collapsed="false">
      <c r="A195" s="18"/>
      <c r="B195" s="10"/>
      <c r="C195" s="10"/>
      <c r="D195" s="10"/>
      <c r="E195" s="10"/>
      <c r="F195" s="10"/>
      <c r="G195" s="10"/>
      <c r="H195" s="5"/>
      <c r="I195" s="10"/>
      <c r="J195" s="10"/>
      <c r="K195" s="10" t="str">
        <f aca="false">IF(C195="","",IF(AND(A195&lt;&gt;"",B195&lt;&gt;""),"Completa","Incompleta"))</f>
        <v/>
      </c>
      <c r="L195" s="10" t="str">
        <f aca="false">IF(C195="","",IF(AND(D195&lt;&gt;"",E195&lt;&gt;"",F195&lt;&gt;"",G195&lt;&gt;"",H195&lt;&gt;""),"Completa","Incompleta"))</f>
        <v/>
      </c>
      <c r="M195" s="10" t="str">
        <f aca="false">IF(C195="","",IF(AND(K195="Completa",L195="Completa"),"Completa","Parcial"))</f>
        <v/>
      </c>
    </row>
    <row r="196" customFormat="false" ht="15" hidden="false" customHeight="false" outlineLevel="0" collapsed="false">
      <c r="A196" s="18"/>
      <c r="B196" s="10"/>
      <c r="C196" s="10"/>
      <c r="D196" s="10"/>
      <c r="E196" s="10"/>
      <c r="F196" s="10"/>
      <c r="G196" s="10"/>
      <c r="H196" s="5"/>
      <c r="I196" s="10"/>
      <c r="J196" s="10"/>
      <c r="K196" s="10" t="str">
        <f aca="false">IF(C196="","",IF(AND(A196&lt;&gt;"",B196&lt;&gt;""),"Completa","Incompleta"))</f>
        <v/>
      </c>
      <c r="L196" s="10" t="str">
        <f aca="false">IF(C196="","",IF(AND(D196&lt;&gt;"",E196&lt;&gt;"",F196&lt;&gt;"",G196&lt;&gt;"",H196&lt;&gt;""),"Completa","Incompleta"))</f>
        <v/>
      </c>
      <c r="M196" s="10" t="str">
        <f aca="false">IF(C196="","",IF(AND(K196="Completa",L196="Completa"),"Completa","Parcial"))</f>
        <v/>
      </c>
    </row>
    <row r="197" customFormat="false" ht="15" hidden="false" customHeight="false" outlineLevel="0" collapsed="false">
      <c r="A197" s="18"/>
      <c r="B197" s="10"/>
      <c r="C197" s="10"/>
      <c r="D197" s="10"/>
      <c r="E197" s="10"/>
      <c r="F197" s="10"/>
      <c r="G197" s="10"/>
      <c r="H197" s="5"/>
      <c r="I197" s="10"/>
      <c r="J197" s="10"/>
      <c r="K197" s="10" t="str">
        <f aca="false">IF(C197="","",IF(AND(A197&lt;&gt;"",B197&lt;&gt;""),"Completa","Incompleta"))</f>
        <v/>
      </c>
      <c r="L197" s="10" t="str">
        <f aca="false">IF(C197="","",IF(AND(D197&lt;&gt;"",E197&lt;&gt;"",F197&lt;&gt;"",G197&lt;&gt;"",H197&lt;&gt;""),"Completa","Incompleta"))</f>
        <v/>
      </c>
      <c r="M197" s="10" t="str">
        <f aca="false">IF(C197="","",IF(AND(K197="Completa",L197="Completa"),"Completa","Parcial"))</f>
        <v/>
      </c>
    </row>
    <row r="198" customFormat="false" ht="15" hidden="false" customHeight="false" outlineLevel="0" collapsed="false">
      <c r="A198" s="18"/>
      <c r="B198" s="10"/>
      <c r="C198" s="10"/>
      <c r="D198" s="10"/>
      <c r="E198" s="10"/>
      <c r="F198" s="10"/>
      <c r="G198" s="10"/>
      <c r="H198" s="5"/>
      <c r="I198" s="10"/>
      <c r="J198" s="10"/>
      <c r="K198" s="10" t="str">
        <f aca="false">IF(C198="","",IF(AND(A198&lt;&gt;"",B198&lt;&gt;""),"Completa","Incompleta"))</f>
        <v/>
      </c>
      <c r="L198" s="10" t="str">
        <f aca="false">IF(C198="","",IF(AND(D198&lt;&gt;"",E198&lt;&gt;"",F198&lt;&gt;"",G198&lt;&gt;"",H198&lt;&gt;""),"Completa","Incompleta"))</f>
        <v/>
      </c>
      <c r="M198" s="10" t="str">
        <f aca="false">IF(C198="","",IF(AND(K198="Completa",L198="Completa"),"Completa","Parcial"))</f>
        <v/>
      </c>
    </row>
    <row r="199" customFormat="false" ht="15" hidden="false" customHeight="false" outlineLevel="0" collapsed="false">
      <c r="A199" s="18"/>
      <c r="B199" s="10"/>
      <c r="C199" s="10"/>
      <c r="D199" s="10"/>
      <c r="E199" s="10"/>
      <c r="F199" s="10"/>
      <c r="G199" s="10"/>
      <c r="H199" s="5"/>
      <c r="I199" s="10"/>
      <c r="J199" s="10"/>
      <c r="K199" s="10" t="str">
        <f aca="false">IF(C199="","",IF(AND(A199&lt;&gt;"",B199&lt;&gt;""),"Completa","Incompleta"))</f>
        <v/>
      </c>
      <c r="L199" s="10" t="str">
        <f aca="false">IF(C199="","",IF(AND(D199&lt;&gt;"",E199&lt;&gt;"",F199&lt;&gt;"",G199&lt;&gt;"",H199&lt;&gt;""),"Completa","Incompleta"))</f>
        <v/>
      </c>
      <c r="M199" s="10" t="str">
        <f aca="false">IF(C199="","",IF(AND(K199="Completa",L199="Completa"),"Completa","Parcial"))</f>
        <v/>
      </c>
    </row>
    <row r="200" customFormat="false" ht="15" hidden="false" customHeight="false" outlineLevel="0" collapsed="false">
      <c r="A200" s="18"/>
      <c r="B200" s="10"/>
      <c r="C200" s="10"/>
      <c r="D200" s="10"/>
      <c r="E200" s="10"/>
      <c r="F200" s="10"/>
      <c r="G200" s="10"/>
      <c r="H200" s="5"/>
      <c r="I200" s="10"/>
      <c r="J200" s="10"/>
      <c r="K200" s="10" t="str">
        <f aca="false">IF(C200="","",IF(AND(A200&lt;&gt;"",B200&lt;&gt;""),"Completa","Incompleta"))</f>
        <v/>
      </c>
      <c r="L200" s="10" t="str">
        <f aca="false">IF(C200="","",IF(AND(D200&lt;&gt;"",E200&lt;&gt;"",F200&lt;&gt;"",G200&lt;&gt;"",H200&lt;&gt;""),"Completa","Incompleta"))</f>
        <v/>
      </c>
      <c r="M200" s="10" t="str">
        <f aca="false">IF(C200="","",IF(AND(K200="Completa",L200="Completa"),"Completa","Parcial"))</f>
        <v/>
      </c>
    </row>
    <row r="201" customFormat="false" ht="15" hidden="false" customHeight="false" outlineLevel="0" collapsed="false">
      <c r="A201" s="18"/>
      <c r="B201" s="10"/>
      <c r="C201" s="10"/>
      <c r="D201" s="10"/>
      <c r="E201" s="10"/>
      <c r="F201" s="10"/>
      <c r="G201" s="10"/>
      <c r="H201" s="5"/>
      <c r="I201" s="10"/>
      <c r="J201" s="10"/>
      <c r="K201" s="10" t="str">
        <f aca="false">IF(C201="","",IF(AND(A201&lt;&gt;"",B201&lt;&gt;""),"Completa","Incompleta"))</f>
        <v/>
      </c>
      <c r="L201" s="10" t="str">
        <f aca="false">IF(C201="","",IF(AND(D201&lt;&gt;"",E201&lt;&gt;"",F201&lt;&gt;"",G201&lt;&gt;"",H201&lt;&gt;""),"Completa","Incompleta"))</f>
        <v/>
      </c>
      <c r="M201" s="10" t="str">
        <f aca="false">IF(C201="","",IF(AND(K201="Completa",L201="Completa"),"Completa","Parcial"))</f>
        <v/>
      </c>
    </row>
    <row r="202" customFormat="false" ht="15" hidden="false" customHeight="false" outlineLevel="0" collapsed="false">
      <c r="A202" s="18"/>
      <c r="B202" s="10"/>
      <c r="C202" s="10"/>
      <c r="D202" s="10"/>
      <c r="E202" s="10"/>
      <c r="F202" s="10"/>
      <c r="G202" s="10"/>
      <c r="H202" s="5"/>
      <c r="I202" s="10"/>
      <c r="J202" s="10"/>
      <c r="K202" s="10" t="str">
        <f aca="false">IF(C202="","",IF(AND(A202&lt;&gt;"",B202&lt;&gt;""),"Completa","Incompleta"))</f>
        <v/>
      </c>
      <c r="L202" s="10" t="str">
        <f aca="false">IF(C202="","",IF(AND(D202&lt;&gt;"",E202&lt;&gt;"",F202&lt;&gt;"",G202&lt;&gt;"",H202&lt;&gt;""),"Completa","Incompleta"))</f>
        <v/>
      </c>
      <c r="M202" s="10" t="str">
        <f aca="false">IF(C202="","",IF(AND(K202="Completa",L202="Completa"),"Completa","Parcial"))</f>
        <v/>
      </c>
    </row>
    <row r="203" customFormat="false" ht="15" hidden="false" customHeight="false" outlineLevel="0" collapsed="false">
      <c r="A203" s="18"/>
      <c r="B203" s="10"/>
      <c r="C203" s="10"/>
      <c r="D203" s="10"/>
      <c r="E203" s="10"/>
      <c r="F203" s="10"/>
      <c r="G203" s="10"/>
      <c r="H203" s="5"/>
      <c r="I203" s="10"/>
      <c r="J203" s="10"/>
      <c r="K203" s="10" t="str">
        <f aca="false">IF(C203="","",IF(AND(A203&lt;&gt;"",B203&lt;&gt;""),"Completa","Incompleta"))</f>
        <v/>
      </c>
      <c r="L203" s="10" t="str">
        <f aca="false">IF(C203="","",IF(AND(D203&lt;&gt;"",E203&lt;&gt;"",F203&lt;&gt;"",G203&lt;&gt;"",H203&lt;&gt;""),"Completa","Incompleta"))</f>
        <v/>
      </c>
      <c r="M203" s="10" t="str">
        <f aca="false">IF(C203="","",IF(AND(K203="Completa",L203="Completa"),"Completa","Parcial"))</f>
        <v/>
      </c>
    </row>
    <row r="204" customFormat="false" ht="15" hidden="false" customHeight="false" outlineLevel="0" collapsed="false">
      <c r="A204" s="18"/>
      <c r="B204" s="10"/>
      <c r="C204" s="10"/>
      <c r="D204" s="10"/>
      <c r="E204" s="10"/>
      <c r="F204" s="10"/>
      <c r="G204" s="10"/>
      <c r="H204" s="5"/>
      <c r="I204" s="10"/>
      <c r="J204" s="10"/>
      <c r="K204" s="10" t="str">
        <f aca="false">IF(C204="","",IF(AND(A204&lt;&gt;"",B204&lt;&gt;""),"Completa","Incompleta"))</f>
        <v/>
      </c>
      <c r="L204" s="10" t="str">
        <f aca="false">IF(C204="","",IF(AND(D204&lt;&gt;"",E204&lt;&gt;"",F204&lt;&gt;"",G204&lt;&gt;"",H204&lt;&gt;""),"Completa","Incompleta"))</f>
        <v/>
      </c>
      <c r="M204" s="10" t="str">
        <f aca="false">IF(C204="","",IF(AND(K204="Completa",L204="Completa"),"Completa","Parcial"))</f>
        <v/>
      </c>
    </row>
  </sheetData>
  <mergeCells count="2">
    <mergeCell ref="A1:M1"/>
    <mergeCell ref="A2:M2"/>
  </mergeCells>
  <conditionalFormatting sqref="M5:M204">
    <cfRule type="expression" priority="2" aboveAverage="0" equalAverage="0" bottom="0" percent="0" rank="0" text="" dxfId="7">
      <formula>M5="Completa"</formula>
    </cfRule>
    <cfRule type="expression" priority="3" aboveAverage="0" equalAverage="0" bottom="0" percent="0" rank="0" text="" dxfId="10">
      <formula>M5="Parcial"</formula>
    </cfRule>
  </conditionalFormatting>
  <dataValidations count="1">
    <dataValidation allowBlank="false" errorStyle="stop" operator="between" showDropDown="false" showErrorMessage="false" showInputMessage="false" sqref="H5:H204" type="list">
      <formula1>"Pendiente,En ejecución,Conforme,No conforme"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44"/>
    <col collapsed="false" customWidth="true" hidden="false" outlineLevel="0" max="4" min="4" style="1" width="24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10" min="10" style="1" width="28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2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3.75" hidden="false" customHeight="true" outlineLevel="0" collapsed="false">
      <c r="A2" s="3" t="s">
        <v>565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false" outlineLevel="0" collapsed="false">
      <c r="A4" s="4" t="s">
        <v>566</v>
      </c>
      <c r="B4" s="4"/>
      <c r="C4" s="4"/>
      <c r="D4" s="4"/>
      <c r="F4" s="4" t="s">
        <v>567</v>
      </c>
      <c r="G4" s="4"/>
      <c r="J4" s="4" t="s">
        <v>568</v>
      </c>
      <c r="K4" s="4"/>
    </row>
    <row r="5" customFormat="false" ht="15" hidden="false" customHeight="false" outlineLevel="0" collapsed="false">
      <c r="A5" s="9" t="s">
        <v>569</v>
      </c>
      <c r="B5" s="9" t="s">
        <v>570</v>
      </c>
      <c r="C5" s="9" t="s">
        <v>571</v>
      </c>
      <c r="D5" s="9" t="s">
        <v>572</v>
      </c>
      <c r="F5" s="10" t="s">
        <v>573</v>
      </c>
      <c r="G5" s="10" t="n">
        <f aca="false">COUNTIF(02_Registro_Requisitos!$M$5:$M$204,F5)</f>
        <v>0</v>
      </c>
      <c r="J5" s="10" t="s">
        <v>431</v>
      </c>
      <c r="K5" s="10" t="n">
        <f aca="false">COUNTIF(07_CCB_Decisiones!$G$5:$G$204,J5)</f>
        <v>1</v>
      </c>
    </row>
    <row r="6" customFormat="false" ht="15" hidden="false" customHeight="false" outlineLevel="0" collapsed="false">
      <c r="A6" s="8" t="s">
        <v>574</v>
      </c>
      <c r="B6" s="28" t="n">
        <f aca="false">COUNTA(02_Registro_Requisitos!$A$5:$A$204)</f>
        <v>12</v>
      </c>
      <c r="C6" s="10" t="s">
        <v>575</v>
      </c>
      <c r="D6" s="10" t="s">
        <v>576</v>
      </c>
      <c r="F6" s="10" t="s">
        <v>577</v>
      </c>
      <c r="G6" s="10" t="n">
        <f aca="false">COUNTIF(02_Registro_Requisitos!$M$5:$M$204,F6)</f>
        <v>0</v>
      </c>
      <c r="J6" s="10" t="s">
        <v>578</v>
      </c>
      <c r="K6" s="10" t="n">
        <f aca="false">COUNTIF(07_CCB_Decisiones!$G$5:$G$204,J6)</f>
        <v>0</v>
      </c>
    </row>
    <row r="7" customFormat="false" ht="15" hidden="false" customHeight="false" outlineLevel="0" collapsed="false">
      <c r="A7" s="8" t="s">
        <v>579</v>
      </c>
      <c r="B7" s="28" t="n">
        <f aca="false">COUNTIF(02_Registro_Requisitos!$M$5:$M$204,"Aprobado")</f>
        <v>1</v>
      </c>
      <c r="C7" s="10" t="s">
        <v>580</v>
      </c>
      <c r="D7" s="10" t="s">
        <v>581</v>
      </c>
      <c r="F7" s="10" t="s">
        <v>582</v>
      </c>
      <c r="G7" s="10" t="n">
        <f aca="false">COUNTIF(02_Registro_Requisitos!$M$5:$M$204,F7)</f>
        <v>0</v>
      </c>
      <c r="J7" s="10" t="s">
        <v>583</v>
      </c>
      <c r="K7" s="10" t="n">
        <f aca="false">COUNTIF(07_CCB_Decisiones!$G$5:$G$204,J7)</f>
        <v>0</v>
      </c>
    </row>
    <row r="8" customFormat="false" ht="15" hidden="false" customHeight="false" outlineLevel="0" collapsed="false">
      <c r="A8" s="8" t="s">
        <v>584</v>
      </c>
      <c r="B8" s="28" t="n">
        <f aca="false">COUNTIF(02_Registro_Requisitos!$M$5:$M$204,"Verificado")</f>
        <v>0</v>
      </c>
      <c r="C8" s="10" t="s">
        <v>585</v>
      </c>
      <c r="D8" s="10" t="s">
        <v>586</v>
      </c>
      <c r="F8" s="10" t="s">
        <v>195</v>
      </c>
      <c r="G8" s="10" t="n">
        <f aca="false">COUNTIF(02_Registro_Requisitos!$M$5:$M$204,F8)</f>
        <v>7</v>
      </c>
      <c r="J8" s="10" t="s">
        <v>587</v>
      </c>
      <c r="K8" s="10" t="n">
        <f aca="false">COUNTIF(07_CCB_Decisiones!$G$5:$G$204,J8)</f>
        <v>0</v>
      </c>
    </row>
    <row r="9" customFormat="false" ht="15" hidden="false" customHeight="false" outlineLevel="0" collapsed="false">
      <c r="A9" s="8" t="s">
        <v>588</v>
      </c>
      <c r="B9" s="28" t="n">
        <f aca="false">COUNTIF(02_Registro_Requisitos!$O$5:$O$204,"&lt;&gt;")</f>
        <v>1</v>
      </c>
      <c r="C9" s="10" t="s">
        <v>589</v>
      </c>
      <c r="D9" s="10" t="s">
        <v>590</v>
      </c>
      <c r="F9" s="10" t="s">
        <v>288</v>
      </c>
      <c r="G9" s="10" t="n">
        <f aca="false">COUNTIF(02_Registro_Requisitos!$M$5:$M$204,F9)</f>
        <v>1</v>
      </c>
    </row>
    <row r="10" customFormat="false" ht="15" hidden="false" customHeight="false" outlineLevel="0" collapsed="false">
      <c r="A10" s="8" t="s">
        <v>591</v>
      </c>
      <c r="B10" s="28" t="n">
        <f aca="false">COUNTIFS(05_Solicitudes_Cambio!$A$5:$A$204,"&lt;&gt;",05_Solicitudes_Cambio!$J$5:$J$204,"&lt;&gt;Cerrada",05_Solicitudes_Cambio!$J$5:$J$204,"&lt;&gt;Rechazada")</f>
        <v>1</v>
      </c>
      <c r="C10" s="10" t="s">
        <v>592</v>
      </c>
      <c r="D10" s="10" t="s">
        <v>593</v>
      </c>
      <c r="F10" s="10" t="s">
        <v>594</v>
      </c>
      <c r="G10" s="10" t="n">
        <f aca="false">COUNTIF(02_Registro_Requisitos!$M$5:$M$204,F10)</f>
        <v>0</v>
      </c>
    </row>
    <row r="11" customFormat="false" ht="15" hidden="false" customHeight="false" outlineLevel="0" collapsed="false">
      <c r="A11" s="8" t="s">
        <v>595</v>
      </c>
      <c r="B11" s="28" t="n">
        <f aca="false">COUNTIF(05_Solicitudes_Cambio!$J$5:$J$204,"Aprobada")</f>
        <v>0</v>
      </c>
      <c r="C11" s="10" t="s">
        <v>596</v>
      </c>
      <c r="D11" s="10" t="s">
        <v>597</v>
      </c>
      <c r="F11" s="10" t="s">
        <v>598</v>
      </c>
      <c r="G11" s="10" t="n">
        <f aca="false">COUNTIF(02_Registro_Requisitos!$M$5:$M$204,F11)</f>
        <v>0</v>
      </c>
    </row>
    <row r="12" customFormat="false" ht="15" hidden="false" customHeight="false" outlineLevel="0" collapsed="false">
      <c r="A12" s="8" t="s">
        <v>599</v>
      </c>
      <c r="B12" s="28" t="n">
        <f aca="false">COUNTIFS(09_Estado_Incidentes!$A$5:$A$204,"&lt;&gt;",09_Estado_Incidentes!$H$5:$H$204,"&lt;&gt;Cerrado")</f>
        <v>18</v>
      </c>
      <c r="C12" s="10" t="s">
        <v>600</v>
      </c>
      <c r="D12" s="10" t="s">
        <v>601</v>
      </c>
      <c r="F12" s="10" t="s">
        <v>602</v>
      </c>
      <c r="G12" s="10" t="n">
        <f aca="false">COUNTIF(02_Registro_Requisitos!$M$5:$M$204,F12)</f>
        <v>0</v>
      </c>
    </row>
    <row r="13" customFormat="false" ht="15" hidden="false" customHeight="false" outlineLevel="0" collapsed="false">
      <c r="A13" s="8" t="s">
        <v>603</v>
      </c>
      <c r="B13" s="28" t="n">
        <f aca="false">COUNTIF(09_Estado_Incidentes!$M$5:$M$204,"Sí")</f>
        <v>0</v>
      </c>
      <c r="C13" s="10" t="s">
        <v>604</v>
      </c>
      <c r="D13" s="10" t="s">
        <v>605</v>
      </c>
      <c r="F13" s="10" t="s">
        <v>606</v>
      </c>
      <c r="G13" s="10" t="n">
        <f aca="false">COUNTIF(02_Registro_Requisitos!$M$5:$M$204,F13)</f>
        <v>0</v>
      </c>
    </row>
    <row r="14" customFormat="false" ht="15" hidden="false" customHeight="false" outlineLevel="0" collapsed="false">
      <c r="A14" s="8" t="s">
        <v>607</v>
      </c>
      <c r="B14" s="29" t="n">
        <f aca="false">IFERROR(COUNTIF(03_Depuración_Calidad!$U$5:$U$204,"Apto para línea base")/COUNTIF(03_Depuración_Calidad!$A$5:$A$204,"&lt;&gt;"),0)</f>
        <v>0.75</v>
      </c>
      <c r="C14" s="10" t="s">
        <v>608</v>
      </c>
      <c r="D14" s="10" t="s">
        <v>609</v>
      </c>
      <c r="F14" s="10" t="s">
        <v>217</v>
      </c>
      <c r="G14" s="10" t="n">
        <f aca="false">COUNTIF(02_Registro_Requisitos!$M$5:$M$204,F14)</f>
        <v>4</v>
      </c>
    </row>
    <row r="15" customFormat="false" ht="15" hidden="false" customHeight="false" outlineLevel="0" collapsed="false">
      <c r="A15" s="8" t="s">
        <v>610</v>
      </c>
      <c r="B15" s="29" t="n">
        <f aca="false">IFERROR(COUNTIF(10_Trazabilidad_RTM!$M$5:$M$204,"Completa")/COUNTIF(10_Trazabilidad_RTM!$C$5:$C$204,"&lt;&gt;"),0)</f>
        <v>1</v>
      </c>
      <c r="C15" s="10" t="s">
        <v>611</v>
      </c>
      <c r="D15" s="10" t="s">
        <v>612</v>
      </c>
    </row>
    <row r="16" customFormat="false" ht="15" hidden="false" customHeight="false" outlineLevel="0" collapsed="false">
      <c r="A16" s="8" t="s">
        <v>613</v>
      </c>
      <c r="B16" s="29" t="n">
        <f aca="false">IFERROR(COUNTA(08_Versiones!$A$5:$A$204)/COUNTA(02_Registro_Requisitos!$A$5:$A$204),0)</f>
        <v>0.0833333333333333</v>
      </c>
      <c r="C16" s="10" t="s">
        <v>614</v>
      </c>
      <c r="D16" s="10" t="s">
        <v>615</v>
      </c>
    </row>
  </sheetData>
  <mergeCells count="5">
    <mergeCell ref="A1:N1"/>
    <mergeCell ref="A2:N2"/>
    <mergeCell ref="A4:D4"/>
    <mergeCell ref="F4:G4"/>
    <mergeCell ref="J4:K4"/>
  </mergeCells>
  <conditionalFormatting sqref="B13">
    <cfRule type="cellIs" priority="2" operator="greaterThan" aboveAverage="0" equalAverage="0" bottom="0" percent="0" rank="0" text="" dxfId="18">
      <formula>0</formula>
    </cfRule>
  </conditionalFormatting>
  <conditionalFormatting sqref="B14:B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priority="4" aboveAverage="0" equalAverage="0" bottom="0" percent="0" rank="0" text="" dxfId="19">
      <formula>B14&gt;=0.9</formula>
    </cfRule>
    <cfRule type="expression" priority="5" aboveAverage="0" equalAverage="0" bottom="0" percent="0" rank="0" text="" dxfId="20">
      <formula>AND(B14&gt;=0.7,B14&lt;0.9)</formula>
    </cfRule>
    <cfRule type="expression" priority="6" aboveAverage="0" equalAverage="0" bottom="0" percent="0" rank="0" text="" dxfId="18">
      <formula>B14&lt;0.7</formula>
    </cfRule>
  </conditionalFormatting>
  <conditionalFormatting sqref="B16">
    <cfRule type="expression" priority="7" aboveAverage="0" equalAverage="0" bottom="0" percent="0" rank="0" text="" dxfId="7">
      <formula>B16&lt;=0.25</formula>
    </cfRule>
    <cfRule type="expression" priority="8" aboveAverage="0" equalAverage="0" bottom="0" percent="0" rank="0" text="" dxfId="10">
      <formula>AND(B16&gt;0.25,B16&lt;=0.5)</formula>
    </cfRule>
    <cfRule type="expression" priority="9" aboveAverage="0" equalAverage="0" bottom="0" percent="0" rank="0" text="" dxfId="9">
      <formula>B16&gt;0.5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6" min="6" style="1" width="30"/>
    <col collapsed="false" customWidth="true" hidden="false" outlineLevel="0" max="7" min="7" style="1" width="56"/>
    <col collapsed="false" customWidth="true" hidden="false" outlineLevel="0" max="8" min="8" style="1" width="48"/>
  </cols>
  <sheetData>
    <row r="1" customFormat="false" ht="30" hidden="false" customHeight="true" outlineLevel="0" collapsed="false">
      <c r="A1" s="2" t="s">
        <v>616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617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618</v>
      </c>
      <c r="B4" s="4"/>
      <c r="C4" s="4"/>
      <c r="D4" s="4"/>
      <c r="F4" s="4" t="s">
        <v>619</v>
      </c>
      <c r="G4" s="4"/>
      <c r="H4" s="4"/>
    </row>
    <row r="5" customFormat="false" ht="15" hidden="false" customHeight="false" outlineLevel="0" collapsed="false">
      <c r="A5" s="9" t="s">
        <v>620</v>
      </c>
      <c r="B5" s="9" t="s">
        <v>570</v>
      </c>
      <c r="C5" s="9" t="s">
        <v>621</v>
      </c>
      <c r="D5" s="9" t="s">
        <v>622</v>
      </c>
      <c r="F5" s="9" t="s">
        <v>82</v>
      </c>
      <c r="G5" s="9" t="s">
        <v>623</v>
      </c>
      <c r="H5" s="9" t="s">
        <v>624</v>
      </c>
    </row>
    <row r="6" customFormat="false" ht="41.75" hidden="false" customHeight="false" outlineLevel="0" collapsed="false">
      <c r="A6" s="10" t="s">
        <v>625</v>
      </c>
      <c r="B6" s="10" t="s">
        <v>626</v>
      </c>
      <c r="C6" s="10" t="s">
        <v>627</v>
      </c>
      <c r="D6" s="10" t="s">
        <v>628</v>
      </c>
      <c r="F6" s="10" t="s">
        <v>629</v>
      </c>
      <c r="G6" s="10" t="s">
        <v>630</v>
      </c>
      <c r="H6" s="10" t="s">
        <v>631</v>
      </c>
    </row>
    <row r="7" customFormat="false" ht="15" hidden="false" customHeight="false" outlineLevel="0" collapsed="false">
      <c r="A7" s="10" t="s">
        <v>625</v>
      </c>
      <c r="B7" s="10" t="s">
        <v>632</v>
      </c>
      <c r="C7" s="10" t="s">
        <v>627</v>
      </c>
      <c r="D7" s="10" t="s">
        <v>628</v>
      </c>
      <c r="F7" s="10" t="s">
        <v>633</v>
      </c>
      <c r="G7" s="10" t="s">
        <v>634</v>
      </c>
      <c r="H7" s="10" t="s">
        <v>635</v>
      </c>
    </row>
    <row r="8" customFormat="false" ht="28.35" hidden="false" customHeight="false" outlineLevel="0" collapsed="false">
      <c r="A8" s="10" t="s">
        <v>625</v>
      </c>
      <c r="B8" s="10" t="s">
        <v>636</v>
      </c>
      <c r="C8" s="10" t="s">
        <v>627</v>
      </c>
      <c r="D8" s="10" t="s">
        <v>628</v>
      </c>
      <c r="F8" s="10" t="s">
        <v>637</v>
      </c>
      <c r="G8" s="10" t="s">
        <v>638</v>
      </c>
      <c r="H8" s="10" t="s">
        <v>639</v>
      </c>
    </row>
    <row r="9" customFormat="false" ht="15" hidden="false" customHeight="false" outlineLevel="0" collapsed="false">
      <c r="A9" s="10" t="s">
        <v>625</v>
      </c>
      <c r="B9" s="10" t="s">
        <v>640</v>
      </c>
      <c r="C9" s="10" t="s">
        <v>627</v>
      </c>
      <c r="D9" s="10" t="s">
        <v>628</v>
      </c>
      <c r="F9" s="10" t="s">
        <v>641</v>
      </c>
      <c r="G9" s="10" t="s">
        <v>642</v>
      </c>
      <c r="H9" s="10" t="s">
        <v>643</v>
      </c>
    </row>
    <row r="10" customFormat="false" ht="28.35" hidden="false" customHeight="false" outlineLevel="0" collapsed="false">
      <c r="A10" s="10" t="s">
        <v>625</v>
      </c>
      <c r="B10" s="10" t="s">
        <v>184</v>
      </c>
      <c r="C10" s="10" t="s">
        <v>627</v>
      </c>
      <c r="D10" s="10" t="s">
        <v>628</v>
      </c>
      <c r="F10" s="10" t="s">
        <v>644</v>
      </c>
      <c r="G10" s="10" t="s">
        <v>645</v>
      </c>
      <c r="H10" s="10" t="s">
        <v>646</v>
      </c>
    </row>
    <row r="11" customFormat="false" ht="28.35" hidden="false" customHeight="false" outlineLevel="0" collapsed="false">
      <c r="A11" s="10" t="s">
        <v>625</v>
      </c>
      <c r="B11" s="10" t="s">
        <v>647</v>
      </c>
      <c r="C11" s="10" t="s">
        <v>627</v>
      </c>
      <c r="D11" s="10" t="s">
        <v>628</v>
      </c>
      <c r="F11" s="10" t="s">
        <v>648</v>
      </c>
      <c r="G11" s="10" t="s">
        <v>649</v>
      </c>
      <c r="H11" s="10" t="s">
        <v>650</v>
      </c>
    </row>
    <row r="12" customFormat="false" ht="28.35" hidden="false" customHeight="false" outlineLevel="0" collapsed="false">
      <c r="A12" s="10" t="s">
        <v>625</v>
      </c>
      <c r="B12" s="10" t="s">
        <v>651</v>
      </c>
      <c r="C12" s="10" t="s">
        <v>627</v>
      </c>
      <c r="D12" s="10" t="s">
        <v>628</v>
      </c>
      <c r="F12" s="10" t="s">
        <v>652</v>
      </c>
      <c r="G12" s="10" t="s">
        <v>653</v>
      </c>
      <c r="H12" s="10" t="s">
        <v>654</v>
      </c>
    </row>
    <row r="13" customFormat="false" ht="28.35" hidden="false" customHeight="false" outlineLevel="0" collapsed="false">
      <c r="A13" s="10" t="s">
        <v>625</v>
      </c>
      <c r="B13" s="10" t="s">
        <v>655</v>
      </c>
      <c r="C13" s="10" t="s">
        <v>627</v>
      </c>
      <c r="D13" s="10" t="s">
        <v>628</v>
      </c>
      <c r="F13" s="10" t="s">
        <v>656</v>
      </c>
      <c r="G13" s="10" t="s">
        <v>657</v>
      </c>
      <c r="H13" s="10" t="s">
        <v>658</v>
      </c>
    </row>
    <row r="14" customFormat="false" ht="28.35" hidden="false" customHeight="false" outlineLevel="0" collapsed="false">
      <c r="A14" s="10" t="s">
        <v>625</v>
      </c>
      <c r="B14" s="10" t="s">
        <v>659</v>
      </c>
      <c r="C14" s="10" t="s">
        <v>627</v>
      </c>
      <c r="D14" s="10" t="s">
        <v>628</v>
      </c>
      <c r="F14" s="10" t="s">
        <v>660</v>
      </c>
      <c r="G14" s="10" t="s">
        <v>661</v>
      </c>
      <c r="H14" s="10" t="s">
        <v>662</v>
      </c>
    </row>
    <row r="15" customFormat="false" ht="15" hidden="false" customHeight="false" outlineLevel="0" collapsed="false">
      <c r="A15" s="10" t="s">
        <v>625</v>
      </c>
      <c r="B15" s="10" t="s">
        <v>663</v>
      </c>
      <c r="C15" s="10" t="s">
        <v>627</v>
      </c>
      <c r="D15" s="10" t="s">
        <v>628</v>
      </c>
    </row>
    <row r="16" customFormat="false" ht="15" hidden="false" customHeight="false" outlineLevel="0" collapsed="false">
      <c r="A16" s="10" t="s">
        <v>168</v>
      </c>
      <c r="B16" s="10" t="s">
        <v>189</v>
      </c>
      <c r="C16" s="10" t="s">
        <v>664</v>
      </c>
      <c r="D16" s="10" t="s">
        <v>665</v>
      </c>
    </row>
    <row r="17" customFormat="false" ht="15" hidden="false" customHeight="false" outlineLevel="0" collapsed="false">
      <c r="A17" s="10" t="s">
        <v>168</v>
      </c>
      <c r="B17" s="10" t="s">
        <v>251</v>
      </c>
      <c r="C17" s="10" t="s">
        <v>664</v>
      </c>
      <c r="D17" s="10" t="s">
        <v>665</v>
      </c>
    </row>
    <row r="18" customFormat="false" ht="15" hidden="false" customHeight="false" outlineLevel="0" collapsed="false">
      <c r="A18" s="10" t="s">
        <v>168</v>
      </c>
      <c r="B18" s="10" t="s">
        <v>666</v>
      </c>
      <c r="C18" s="10" t="s">
        <v>664</v>
      </c>
      <c r="D18" s="10" t="s">
        <v>665</v>
      </c>
    </row>
    <row r="19" customFormat="false" ht="15" hidden="false" customHeight="false" outlineLevel="0" collapsed="false">
      <c r="A19" s="10" t="s">
        <v>168</v>
      </c>
      <c r="B19" s="10" t="s">
        <v>667</v>
      </c>
      <c r="C19" s="10" t="s">
        <v>664</v>
      </c>
      <c r="D19" s="10" t="s">
        <v>665</v>
      </c>
    </row>
    <row r="20" customFormat="false" ht="15" hidden="false" customHeight="false" outlineLevel="0" collapsed="false">
      <c r="A20" s="10" t="s">
        <v>169</v>
      </c>
      <c r="B20" s="10" t="s">
        <v>286</v>
      </c>
      <c r="C20" s="10" t="s">
        <v>668</v>
      </c>
      <c r="D20" s="10" t="s">
        <v>628</v>
      </c>
    </row>
    <row r="21" customFormat="false" ht="15" hidden="false" customHeight="false" outlineLevel="0" collapsed="false">
      <c r="A21" s="10" t="s">
        <v>169</v>
      </c>
      <c r="B21" s="10" t="s">
        <v>190</v>
      </c>
      <c r="C21" s="10" t="s">
        <v>668</v>
      </c>
      <c r="D21" s="10" t="s">
        <v>628</v>
      </c>
    </row>
    <row r="22" customFormat="false" ht="15" hidden="false" customHeight="false" outlineLevel="0" collapsed="false">
      <c r="A22" s="10" t="s">
        <v>169</v>
      </c>
      <c r="B22" s="10" t="s">
        <v>214</v>
      </c>
      <c r="C22" s="10" t="s">
        <v>668</v>
      </c>
      <c r="D22" s="10" t="s">
        <v>628</v>
      </c>
    </row>
    <row r="23" customFormat="false" ht="15" hidden="false" customHeight="false" outlineLevel="0" collapsed="false">
      <c r="A23" s="10" t="s">
        <v>169</v>
      </c>
      <c r="B23" s="10" t="s">
        <v>669</v>
      </c>
      <c r="C23" s="10" t="s">
        <v>668</v>
      </c>
      <c r="D23" s="10" t="s">
        <v>628</v>
      </c>
    </row>
    <row r="24" customFormat="false" ht="15" hidden="false" customHeight="false" outlineLevel="0" collapsed="false">
      <c r="A24" s="10" t="s">
        <v>170</v>
      </c>
      <c r="B24" s="10" t="s">
        <v>215</v>
      </c>
      <c r="C24" s="10" t="s">
        <v>670</v>
      </c>
      <c r="D24" s="10" t="s">
        <v>628</v>
      </c>
    </row>
    <row r="25" customFormat="false" ht="15" hidden="false" customHeight="false" outlineLevel="0" collapsed="false">
      <c r="A25" s="10" t="s">
        <v>170</v>
      </c>
      <c r="B25" s="10" t="s">
        <v>191</v>
      </c>
      <c r="C25" s="10" t="s">
        <v>670</v>
      </c>
      <c r="D25" s="10" t="s">
        <v>628</v>
      </c>
    </row>
    <row r="26" customFormat="false" ht="15" hidden="false" customHeight="false" outlineLevel="0" collapsed="false">
      <c r="A26" s="10" t="s">
        <v>170</v>
      </c>
      <c r="B26" s="10" t="s">
        <v>242</v>
      </c>
      <c r="C26" s="10" t="s">
        <v>670</v>
      </c>
      <c r="D26" s="10" t="s">
        <v>628</v>
      </c>
    </row>
    <row r="27" customFormat="false" ht="15" hidden="false" customHeight="false" outlineLevel="0" collapsed="false">
      <c r="A27" s="10" t="s">
        <v>671</v>
      </c>
      <c r="B27" s="10" t="s">
        <v>672</v>
      </c>
      <c r="C27" s="10" t="s">
        <v>673</v>
      </c>
      <c r="D27" s="10" t="s">
        <v>628</v>
      </c>
    </row>
    <row r="28" customFormat="false" ht="15" hidden="false" customHeight="false" outlineLevel="0" collapsed="false">
      <c r="A28" s="10" t="s">
        <v>671</v>
      </c>
      <c r="B28" s="10" t="s">
        <v>674</v>
      </c>
      <c r="C28" s="10" t="s">
        <v>673</v>
      </c>
      <c r="D28" s="10" t="s">
        <v>628</v>
      </c>
    </row>
    <row r="29" customFormat="false" ht="15" hidden="false" customHeight="false" outlineLevel="0" collapsed="false">
      <c r="A29" s="10" t="s">
        <v>671</v>
      </c>
      <c r="B29" s="10" t="s">
        <v>675</v>
      </c>
      <c r="C29" s="10" t="s">
        <v>673</v>
      </c>
      <c r="D29" s="10" t="s">
        <v>628</v>
      </c>
    </row>
    <row r="30" customFormat="false" ht="15" hidden="false" customHeight="false" outlineLevel="0" collapsed="false">
      <c r="A30" s="10" t="s">
        <v>671</v>
      </c>
      <c r="B30" s="10" t="s">
        <v>193</v>
      </c>
      <c r="C30" s="10" t="s">
        <v>673</v>
      </c>
      <c r="D30" s="10" t="s">
        <v>628</v>
      </c>
    </row>
    <row r="31" customFormat="false" ht="15" hidden="false" customHeight="false" outlineLevel="0" collapsed="false">
      <c r="A31" s="10" t="s">
        <v>676</v>
      </c>
      <c r="B31" s="10" t="s">
        <v>573</v>
      </c>
      <c r="C31" s="10" t="s">
        <v>677</v>
      </c>
      <c r="D31" s="10" t="s">
        <v>628</v>
      </c>
    </row>
    <row r="32" customFormat="false" ht="15" hidden="false" customHeight="false" outlineLevel="0" collapsed="false">
      <c r="A32" s="10" t="s">
        <v>676</v>
      </c>
      <c r="B32" s="10" t="s">
        <v>577</v>
      </c>
      <c r="C32" s="10" t="s">
        <v>677</v>
      </c>
      <c r="D32" s="10" t="s">
        <v>628</v>
      </c>
    </row>
    <row r="33" customFormat="false" ht="15" hidden="false" customHeight="false" outlineLevel="0" collapsed="false">
      <c r="A33" s="10" t="s">
        <v>676</v>
      </c>
      <c r="B33" s="10" t="s">
        <v>582</v>
      </c>
      <c r="C33" s="10" t="s">
        <v>677</v>
      </c>
      <c r="D33" s="10" t="s">
        <v>628</v>
      </c>
    </row>
    <row r="34" customFormat="false" ht="15" hidden="false" customHeight="false" outlineLevel="0" collapsed="false">
      <c r="A34" s="10" t="s">
        <v>676</v>
      </c>
      <c r="B34" s="10" t="s">
        <v>195</v>
      </c>
      <c r="C34" s="10" t="s">
        <v>677</v>
      </c>
      <c r="D34" s="10" t="s">
        <v>628</v>
      </c>
    </row>
    <row r="35" customFormat="false" ht="15" hidden="false" customHeight="false" outlineLevel="0" collapsed="false">
      <c r="A35" s="10" t="s">
        <v>676</v>
      </c>
      <c r="B35" s="10" t="s">
        <v>288</v>
      </c>
      <c r="C35" s="10" t="s">
        <v>677</v>
      </c>
      <c r="D35" s="10" t="s">
        <v>628</v>
      </c>
    </row>
    <row r="36" customFormat="false" ht="15" hidden="false" customHeight="false" outlineLevel="0" collapsed="false">
      <c r="A36" s="10" t="s">
        <v>676</v>
      </c>
      <c r="B36" s="10" t="s">
        <v>594</v>
      </c>
      <c r="C36" s="10" t="s">
        <v>677</v>
      </c>
      <c r="D36" s="10" t="s">
        <v>628</v>
      </c>
    </row>
    <row r="37" customFormat="false" ht="15" hidden="false" customHeight="false" outlineLevel="0" collapsed="false">
      <c r="A37" s="10" t="s">
        <v>676</v>
      </c>
      <c r="B37" s="10" t="s">
        <v>598</v>
      </c>
      <c r="C37" s="10" t="s">
        <v>677</v>
      </c>
      <c r="D37" s="10" t="s">
        <v>628</v>
      </c>
    </row>
    <row r="38" customFormat="false" ht="15" hidden="false" customHeight="false" outlineLevel="0" collapsed="false">
      <c r="A38" s="10" t="s">
        <v>676</v>
      </c>
      <c r="B38" s="10" t="s">
        <v>602</v>
      </c>
      <c r="C38" s="10" t="s">
        <v>677</v>
      </c>
      <c r="D38" s="10" t="s">
        <v>628</v>
      </c>
    </row>
    <row r="39" customFormat="false" ht="15" hidden="false" customHeight="false" outlineLevel="0" collapsed="false">
      <c r="A39" s="10" t="s">
        <v>676</v>
      </c>
      <c r="B39" s="10" t="s">
        <v>606</v>
      </c>
      <c r="C39" s="10" t="s">
        <v>677</v>
      </c>
      <c r="D39" s="10" t="s">
        <v>628</v>
      </c>
    </row>
    <row r="40" customFormat="false" ht="15" hidden="false" customHeight="false" outlineLevel="0" collapsed="false">
      <c r="A40" s="10" t="s">
        <v>676</v>
      </c>
      <c r="B40" s="10" t="s">
        <v>217</v>
      </c>
      <c r="C40" s="10" t="s">
        <v>677</v>
      </c>
      <c r="D40" s="10" t="s">
        <v>628</v>
      </c>
    </row>
    <row r="41" customFormat="false" ht="15" hidden="false" customHeight="false" outlineLevel="0" collapsed="false">
      <c r="A41" s="10" t="s">
        <v>678</v>
      </c>
      <c r="B41" s="10" t="s">
        <v>326</v>
      </c>
      <c r="C41" s="10" t="s">
        <v>679</v>
      </c>
      <c r="D41" s="10" t="s">
        <v>680</v>
      </c>
    </row>
    <row r="42" customFormat="false" ht="15" hidden="false" customHeight="false" outlineLevel="0" collapsed="false">
      <c r="A42" s="10" t="s">
        <v>678</v>
      </c>
      <c r="B42" s="10" t="s">
        <v>327</v>
      </c>
      <c r="C42" s="10" t="s">
        <v>679</v>
      </c>
      <c r="D42" s="10" t="s">
        <v>680</v>
      </c>
    </row>
    <row r="43" customFormat="false" ht="15" hidden="false" customHeight="false" outlineLevel="0" collapsed="false">
      <c r="A43" s="10" t="s">
        <v>681</v>
      </c>
      <c r="B43" s="10" t="s">
        <v>340</v>
      </c>
      <c r="C43" s="10" t="s">
        <v>682</v>
      </c>
      <c r="D43" s="10" t="s">
        <v>683</v>
      </c>
    </row>
    <row r="44" customFormat="false" ht="15" hidden="false" customHeight="false" outlineLevel="0" collapsed="false">
      <c r="A44" s="10" t="s">
        <v>681</v>
      </c>
      <c r="B44" s="10" t="s">
        <v>329</v>
      </c>
      <c r="C44" s="10" t="s">
        <v>682</v>
      </c>
      <c r="D44" s="10" t="s">
        <v>683</v>
      </c>
    </row>
    <row r="45" customFormat="false" ht="15" hidden="false" customHeight="false" outlineLevel="0" collapsed="false">
      <c r="A45" s="10" t="s">
        <v>681</v>
      </c>
      <c r="B45" s="10" t="s">
        <v>583</v>
      </c>
      <c r="C45" s="10" t="s">
        <v>682</v>
      </c>
      <c r="D45" s="10" t="s">
        <v>683</v>
      </c>
    </row>
    <row r="46" customFormat="false" ht="15" hidden="false" customHeight="false" outlineLevel="0" collapsed="false">
      <c r="A46" s="10" t="s">
        <v>681</v>
      </c>
      <c r="B46" s="10" t="s">
        <v>684</v>
      </c>
      <c r="C46" s="10" t="s">
        <v>682</v>
      </c>
      <c r="D46" s="10" t="s">
        <v>683</v>
      </c>
    </row>
    <row r="47" customFormat="false" ht="15" hidden="false" customHeight="false" outlineLevel="0" collapsed="false">
      <c r="A47" s="10" t="s">
        <v>685</v>
      </c>
      <c r="B47" s="10" t="s">
        <v>355</v>
      </c>
      <c r="C47" s="10" t="s">
        <v>686</v>
      </c>
      <c r="D47" s="10" t="s">
        <v>687</v>
      </c>
    </row>
    <row r="48" customFormat="false" ht="15" hidden="false" customHeight="false" outlineLevel="0" collapsed="false">
      <c r="A48" s="10" t="s">
        <v>685</v>
      </c>
      <c r="B48" s="10" t="s">
        <v>688</v>
      </c>
      <c r="C48" s="10" t="s">
        <v>686</v>
      </c>
      <c r="D48" s="10" t="s">
        <v>687</v>
      </c>
    </row>
    <row r="49" customFormat="false" ht="15" hidden="false" customHeight="false" outlineLevel="0" collapsed="false">
      <c r="A49" s="10" t="s">
        <v>685</v>
      </c>
      <c r="B49" s="10" t="s">
        <v>689</v>
      </c>
      <c r="C49" s="10" t="s">
        <v>686</v>
      </c>
      <c r="D49" s="10" t="s">
        <v>687</v>
      </c>
    </row>
    <row r="50" customFormat="false" ht="15" hidden="false" customHeight="false" outlineLevel="0" collapsed="false">
      <c r="A50" s="10" t="s">
        <v>685</v>
      </c>
      <c r="B50" s="10" t="s">
        <v>690</v>
      </c>
      <c r="C50" s="10" t="s">
        <v>686</v>
      </c>
      <c r="D50" s="10" t="s">
        <v>687</v>
      </c>
    </row>
    <row r="51" customFormat="false" ht="15" hidden="false" customHeight="false" outlineLevel="0" collapsed="false">
      <c r="A51" s="10" t="s">
        <v>685</v>
      </c>
      <c r="B51" s="10" t="s">
        <v>691</v>
      </c>
      <c r="C51" s="10" t="s">
        <v>686</v>
      </c>
      <c r="D51" s="10" t="s">
        <v>687</v>
      </c>
    </row>
    <row r="52" customFormat="false" ht="15" hidden="false" customHeight="false" outlineLevel="0" collapsed="false">
      <c r="A52" s="10" t="s">
        <v>692</v>
      </c>
      <c r="B52" s="10" t="s">
        <v>381</v>
      </c>
      <c r="C52" s="10" t="s">
        <v>693</v>
      </c>
      <c r="D52" s="10" t="s">
        <v>694</v>
      </c>
    </row>
    <row r="53" customFormat="false" ht="15" hidden="false" customHeight="false" outlineLevel="0" collapsed="false">
      <c r="A53" s="10" t="s">
        <v>692</v>
      </c>
      <c r="B53" s="10" t="s">
        <v>577</v>
      </c>
      <c r="C53" s="10" t="s">
        <v>693</v>
      </c>
      <c r="D53" s="10" t="s">
        <v>694</v>
      </c>
    </row>
    <row r="54" customFormat="false" ht="15" hidden="false" customHeight="false" outlineLevel="0" collapsed="false">
      <c r="A54" s="10" t="s">
        <v>692</v>
      </c>
      <c r="B54" s="10" t="s">
        <v>695</v>
      </c>
      <c r="C54" s="10" t="s">
        <v>693</v>
      </c>
      <c r="D54" s="10" t="s">
        <v>694</v>
      </c>
    </row>
    <row r="55" customFormat="false" ht="15" hidden="false" customHeight="false" outlineLevel="0" collapsed="false">
      <c r="A55" s="10" t="s">
        <v>692</v>
      </c>
      <c r="B55" s="10" t="s">
        <v>689</v>
      </c>
      <c r="C55" s="10" t="s">
        <v>693</v>
      </c>
      <c r="D55" s="10" t="s">
        <v>694</v>
      </c>
    </row>
    <row r="56" customFormat="false" ht="15" hidden="false" customHeight="false" outlineLevel="0" collapsed="false">
      <c r="A56" s="10" t="s">
        <v>692</v>
      </c>
      <c r="B56" s="10" t="s">
        <v>696</v>
      </c>
      <c r="C56" s="10" t="s">
        <v>693</v>
      </c>
      <c r="D56" s="10" t="s">
        <v>694</v>
      </c>
    </row>
    <row r="57" customFormat="false" ht="15" hidden="false" customHeight="false" outlineLevel="0" collapsed="false">
      <c r="A57" s="10" t="s">
        <v>692</v>
      </c>
      <c r="B57" s="10" t="s">
        <v>697</v>
      </c>
      <c r="C57" s="10" t="s">
        <v>693</v>
      </c>
      <c r="D57" s="10" t="s">
        <v>694</v>
      </c>
    </row>
    <row r="58" customFormat="false" ht="15" hidden="false" customHeight="false" outlineLevel="0" collapsed="false">
      <c r="A58" s="10" t="s">
        <v>692</v>
      </c>
      <c r="B58" s="10" t="s">
        <v>698</v>
      </c>
      <c r="C58" s="10" t="s">
        <v>693</v>
      </c>
      <c r="D58" s="10" t="s">
        <v>694</v>
      </c>
    </row>
    <row r="59" customFormat="false" ht="15" hidden="false" customHeight="false" outlineLevel="0" collapsed="false">
      <c r="A59" s="10" t="s">
        <v>692</v>
      </c>
      <c r="B59" s="10" t="s">
        <v>699</v>
      </c>
      <c r="C59" s="10" t="s">
        <v>693</v>
      </c>
      <c r="D59" s="10" t="s">
        <v>694</v>
      </c>
    </row>
    <row r="60" customFormat="false" ht="15" hidden="false" customHeight="false" outlineLevel="0" collapsed="false">
      <c r="A60" s="10" t="s">
        <v>692</v>
      </c>
      <c r="B60" s="10" t="s">
        <v>700</v>
      </c>
      <c r="C60" s="10" t="s">
        <v>693</v>
      </c>
      <c r="D60" s="10" t="s">
        <v>694</v>
      </c>
    </row>
    <row r="61" customFormat="false" ht="15" hidden="false" customHeight="false" outlineLevel="0" collapsed="false">
      <c r="A61" s="10" t="s">
        <v>701</v>
      </c>
      <c r="B61" s="10" t="s">
        <v>431</v>
      </c>
      <c r="C61" s="10" t="s">
        <v>702</v>
      </c>
      <c r="D61" s="10" t="s">
        <v>135</v>
      </c>
    </row>
    <row r="62" customFormat="false" ht="15" hidden="false" customHeight="false" outlineLevel="0" collapsed="false">
      <c r="A62" s="10" t="s">
        <v>701</v>
      </c>
      <c r="B62" s="10" t="s">
        <v>578</v>
      </c>
      <c r="C62" s="10" t="s">
        <v>702</v>
      </c>
      <c r="D62" s="10" t="s">
        <v>135</v>
      </c>
    </row>
    <row r="63" customFormat="false" ht="15" hidden="false" customHeight="false" outlineLevel="0" collapsed="false">
      <c r="A63" s="10" t="s">
        <v>701</v>
      </c>
      <c r="B63" s="10" t="s">
        <v>583</v>
      </c>
      <c r="C63" s="10" t="s">
        <v>702</v>
      </c>
      <c r="D63" s="10" t="s">
        <v>135</v>
      </c>
    </row>
    <row r="64" customFormat="false" ht="15" hidden="false" customHeight="false" outlineLevel="0" collapsed="false">
      <c r="A64" s="10" t="s">
        <v>701</v>
      </c>
      <c r="B64" s="10" t="s">
        <v>587</v>
      </c>
      <c r="C64" s="10" t="s">
        <v>702</v>
      </c>
      <c r="D64" s="10" t="s">
        <v>135</v>
      </c>
    </row>
    <row r="65" customFormat="false" ht="15" hidden="false" customHeight="false" outlineLevel="0" collapsed="false">
      <c r="A65" s="10" t="s">
        <v>703</v>
      </c>
      <c r="B65" s="10" t="s">
        <v>384</v>
      </c>
      <c r="C65" s="10" t="s">
        <v>704</v>
      </c>
      <c r="D65" s="10" t="s">
        <v>705</v>
      </c>
    </row>
    <row r="66" customFormat="false" ht="15" hidden="false" customHeight="false" outlineLevel="0" collapsed="false">
      <c r="A66" s="10" t="s">
        <v>703</v>
      </c>
      <c r="B66" s="10" t="s">
        <v>706</v>
      </c>
      <c r="C66" s="10" t="s">
        <v>704</v>
      </c>
      <c r="D66" s="10" t="s">
        <v>705</v>
      </c>
    </row>
    <row r="67" customFormat="false" ht="15" hidden="false" customHeight="false" outlineLevel="0" collapsed="false">
      <c r="A67" s="10" t="s">
        <v>703</v>
      </c>
      <c r="B67" s="10" t="s">
        <v>707</v>
      </c>
      <c r="C67" s="10" t="s">
        <v>704</v>
      </c>
      <c r="D67" s="10" t="s">
        <v>705</v>
      </c>
    </row>
    <row r="68" customFormat="false" ht="15" hidden="false" customHeight="false" outlineLevel="0" collapsed="false">
      <c r="A68" s="10" t="s">
        <v>703</v>
      </c>
      <c r="B68" s="10" t="s">
        <v>708</v>
      </c>
      <c r="C68" s="10" t="s">
        <v>704</v>
      </c>
      <c r="D68" s="10" t="s">
        <v>705</v>
      </c>
    </row>
    <row r="69" customFormat="false" ht="15" hidden="false" customHeight="false" outlineLevel="0" collapsed="false">
      <c r="A69" s="10" t="s">
        <v>709</v>
      </c>
      <c r="B69" s="10" t="s">
        <v>474</v>
      </c>
      <c r="C69" s="10" t="s">
        <v>710</v>
      </c>
      <c r="D69" s="10" t="s">
        <v>711</v>
      </c>
    </row>
    <row r="70" customFormat="false" ht="15" hidden="false" customHeight="false" outlineLevel="0" collapsed="false">
      <c r="A70" s="10" t="s">
        <v>709</v>
      </c>
      <c r="B70" s="10" t="s">
        <v>467</v>
      </c>
      <c r="C70" s="10" t="s">
        <v>710</v>
      </c>
      <c r="D70" s="10" t="s">
        <v>711</v>
      </c>
    </row>
    <row r="71" customFormat="false" ht="15" hidden="false" customHeight="false" outlineLevel="0" collapsed="false">
      <c r="A71" s="10" t="s">
        <v>709</v>
      </c>
      <c r="B71" s="10" t="s">
        <v>712</v>
      </c>
      <c r="C71" s="10" t="s">
        <v>710</v>
      </c>
      <c r="D71" s="10" t="s">
        <v>711</v>
      </c>
    </row>
    <row r="72" customFormat="false" ht="15" hidden="false" customHeight="false" outlineLevel="0" collapsed="false">
      <c r="A72" s="10" t="s">
        <v>709</v>
      </c>
      <c r="B72" s="10" t="s">
        <v>713</v>
      </c>
      <c r="C72" s="10" t="s">
        <v>710</v>
      </c>
      <c r="D72" s="10" t="s">
        <v>711</v>
      </c>
    </row>
    <row r="73" customFormat="false" ht="15" hidden="false" customHeight="false" outlineLevel="0" collapsed="false">
      <c r="A73" s="10" t="s">
        <v>709</v>
      </c>
      <c r="B73" s="10" t="s">
        <v>498</v>
      </c>
      <c r="C73" s="10" t="s">
        <v>710</v>
      </c>
      <c r="D73" s="10" t="s">
        <v>711</v>
      </c>
    </row>
    <row r="74" customFormat="false" ht="15" hidden="false" customHeight="false" outlineLevel="0" collapsed="false">
      <c r="A74" s="10" t="s">
        <v>709</v>
      </c>
      <c r="B74" s="10" t="s">
        <v>487</v>
      </c>
      <c r="C74" s="10" t="s">
        <v>710</v>
      </c>
      <c r="D74" s="10" t="s">
        <v>711</v>
      </c>
    </row>
    <row r="75" customFormat="false" ht="15" hidden="false" customHeight="false" outlineLevel="0" collapsed="false">
      <c r="A75" s="10" t="s">
        <v>460</v>
      </c>
      <c r="B75" s="10" t="s">
        <v>215</v>
      </c>
      <c r="C75" s="10" t="s">
        <v>714</v>
      </c>
      <c r="D75" s="10" t="s">
        <v>711</v>
      </c>
    </row>
    <row r="76" customFormat="false" ht="15" hidden="false" customHeight="false" outlineLevel="0" collapsed="false">
      <c r="A76" s="10" t="s">
        <v>460</v>
      </c>
      <c r="B76" s="10" t="s">
        <v>191</v>
      </c>
      <c r="C76" s="10" t="s">
        <v>714</v>
      </c>
      <c r="D76" s="10" t="s">
        <v>711</v>
      </c>
    </row>
    <row r="77" customFormat="false" ht="15" hidden="false" customHeight="false" outlineLevel="0" collapsed="false">
      <c r="A77" s="10" t="s">
        <v>460</v>
      </c>
      <c r="B77" s="10" t="s">
        <v>242</v>
      </c>
      <c r="C77" s="10" t="s">
        <v>714</v>
      </c>
      <c r="D77" s="10" t="s">
        <v>711</v>
      </c>
    </row>
    <row r="78" customFormat="false" ht="15" hidden="false" customHeight="false" outlineLevel="0" collapsed="false">
      <c r="A78" s="10" t="s">
        <v>460</v>
      </c>
      <c r="B78" s="10" t="s">
        <v>479</v>
      </c>
      <c r="C78" s="10" t="s">
        <v>714</v>
      </c>
      <c r="D78" s="10" t="s">
        <v>711</v>
      </c>
    </row>
    <row r="79" customFormat="false" ht="15" hidden="false" customHeight="false" outlineLevel="0" collapsed="false">
      <c r="A79" s="10" t="s">
        <v>715</v>
      </c>
      <c r="B79" s="10" t="s">
        <v>469</v>
      </c>
      <c r="C79" s="10" t="s">
        <v>716</v>
      </c>
      <c r="D79" s="10" t="s">
        <v>711</v>
      </c>
    </row>
    <row r="80" customFormat="false" ht="15" hidden="false" customHeight="false" outlineLevel="0" collapsed="false">
      <c r="A80" s="10" t="s">
        <v>715</v>
      </c>
      <c r="B80" s="10" t="s">
        <v>577</v>
      </c>
      <c r="C80" s="10" t="s">
        <v>716</v>
      </c>
      <c r="D80" s="10" t="s">
        <v>711</v>
      </c>
    </row>
    <row r="81" customFormat="false" ht="15" hidden="false" customHeight="false" outlineLevel="0" collapsed="false">
      <c r="A81" s="10" t="s">
        <v>715</v>
      </c>
      <c r="B81" s="10" t="s">
        <v>717</v>
      </c>
      <c r="C81" s="10" t="s">
        <v>716</v>
      </c>
      <c r="D81" s="10" t="s">
        <v>711</v>
      </c>
    </row>
    <row r="82" customFormat="false" ht="15" hidden="false" customHeight="false" outlineLevel="0" collapsed="false">
      <c r="A82" s="10" t="s">
        <v>715</v>
      </c>
      <c r="B82" s="10" t="s">
        <v>718</v>
      </c>
      <c r="C82" s="10" t="s">
        <v>716</v>
      </c>
      <c r="D82" s="10" t="s">
        <v>711</v>
      </c>
    </row>
    <row r="83" customFormat="false" ht="15" hidden="false" customHeight="false" outlineLevel="0" collapsed="false">
      <c r="A83" s="10" t="s">
        <v>715</v>
      </c>
      <c r="B83" s="10" t="s">
        <v>719</v>
      </c>
      <c r="C83" s="10" t="s">
        <v>716</v>
      </c>
      <c r="D83" s="10" t="s">
        <v>711</v>
      </c>
    </row>
    <row r="84" customFormat="false" ht="15" hidden="false" customHeight="false" outlineLevel="0" collapsed="false">
      <c r="A84" s="10" t="s">
        <v>720</v>
      </c>
      <c r="B84" s="10" t="s">
        <v>446</v>
      </c>
      <c r="C84" s="10" t="s">
        <v>721</v>
      </c>
      <c r="D84" s="10" t="s">
        <v>722</v>
      </c>
    </row>
    <row r="85" customFormat="false" ht="15" hidden="false" customHeight="false" outlineLevel="0" collapsed="false">
      <c r="A85" s="10" t="s">
        <v>720</v>
      </c>
      <c r="B85" s="10" t="s">
        <v>723</v>
      </c>
      <c r="C85" s="10" t="s">
        <v>721</v>
      </c>
      <c r="D85" s="10" t="s">
        <v>722</v>
      </c>
    </row>
    <row r="86" customFormat="false" ht="15" hidden="false" customHeight="false" outlineLevel="0" collapsed="false">
      <c r="A86" s="10" t="s">
        <v>720</v>
      </c>
      <c r="B86" s="10" t="s">
        <v>724</v>
      </c>
      <c r="C86" s="10" t="s">
        <v>721</v>
      </c>
      <c r="D86" s="10" t="s">
        <v>722</v>
      </c>
    </row>
    <row r="87" customFormat="false" ht="15" hidden="false" customHeight="false" outlineLevel="0" collapsed="false">
      <c r="A87" s="10" t="s">
        <v>720</v>
      </c>
      <c r="B87" s="10" t="s">
        <v>725</v>
      </c>
      <c r="C87" s="10" t="s">
        <v>721</v>
      </c>
      <c r="D87" s="10" t="s">
        <v>722</v>
      </c>
    </row>
    <row r="88" customFormat="false" ht="15" hidden="false" customHeight="false" outlineLevel="0" collapsed="false">
      <c r="A88" s="10" t="s">
        <v>720</v>
      </c>
      <c r="B88" s="10" t="s">
        <v>174</v>
      </c>
      <c r="C88" s="10" t="s">
        <v>721</v>
      </c>
      <c r="D88" s="10" t="s">
        <v>722</v>
      </c>
    </row>
    <row r="89" customFormat="false" ht="15" hidden="false" customHeight="false" outlineLevel="0" collapsed="false">
      <c r="A89" s="10" t="s">
        <v>720</v>
      </c>
      <c r="B89" s="10" t="s">
        <v>726</v>
      </c>
      <c r="C89" s="10" t="s">
        <v>721</v>
      </c>
      <c r="D89" s="10" t="s">
        <v>722</v>
      </c>
    </row>
    <row r="90" customFormat="false" ht="15" hidden="false" customHeight="false" outlineLevel="0" collapsed="false">
      <c r="A90" s="10" t="s">
        <v>720</v>
      </c>
      <c r="B90" s="10" t="s">
        <v>526</v>
      </c>
      <c r="C90" s="10" t="s">
        <v>721</v>
      </c>
      <c r="D90" s="10" t="s">
        <v>722</v>
      </c>
    </row>
    <row r="91" customFormat="false" ht="15" hidden="false" customHeight="false" outlineLevel="0" collapsed="false">
      <c r="A91" s="10" t="s">
        <v>720</v>
      </c>
      <c r="B91" s="10" t="s">
        <v>487</v>
      </c>
      <c r="C91" s="10" t="s">
        <v>721</v>
      </c>
      <c r="D91" s="10" t="s">
        <v>722</v>
      </c>
    </row>
    <row r="92" customFormat="false" ht="15" hidden="false" customHeight="false" outlineLevel="0" collapsed="false">
      <c r="A92" s="10" t="s">
        <v>727</v>
      </c>
      <c r="B92" s="10" t="s">
        <v>728</v>
      </c>
      <c r="C92" s="10" t="s">
        <v>70</v>
      </c>
      <c r="D92" s="10" t="s">
        <v>729</v>
      </c>
    </row>
    <row r="93" customFormat="false" ht="15" hidden="false" customHeight="false" outlineLevel="0" collapsed="false">
      <c r="A93" s="10" t="s">
        <v>727</v>
      </c>
      <c r="B93" s="10" t="s">
        <v>730</v>
      </c>
      <c r="C93" s="10" t="s">
        <v>70</v>
      </c>
      <c r="D93" s="10" t="s">
        <v>729</v>
      </c>
    </row>
    <row r="94" customFormat="false" ht="15" hidden="false" customHeight="false" outlineLevel="0" collapsed="false">
      <c r="A94" s="10" t="s">
        <v>727</v>
      </c>
      <c r="B94" s="10" t="s">
        <v>71</v>
      </c>
      <c r="C94" s="10" t="s">
        <v>70</v>
      </c>
      <c r="D94" s="10" t="s">
        <v>729</v>
      </c>
    </row>
    <row r="95" customFormat="false" ht="15" hidden="false" customHeight="false" outlineLevel="0" collapsed="false">
      <c r="A95" s="10" t="s">
        <v>731</v>
      </c>
      <c r="B95" s="10" t="s">
        <v>85</v>
      </c>
      <c r="C95" s="10" t="s">
        <v>732</v>
      </c>
      <c r="D95" s="10" t="s">
        <v>729</v>
      </c>
    </row>
    <row r="96" customFormat="false" ht="15" hidden="false" customHeight="false" outlineLevel="0" collapsed="false">
      <c r="A96" s="10" t="s">
        <v>731</v>
      </c>
      <c r="B96" s="10" t="s">
        <v>733</v>
      </c>
      <c r="C96" s="10" t="s">
        <v>732</v>
      </c>
      <c r="D96" s="10" t="s">
        <v>729</v>
      </c>
    </row>
    <row r="97" customFormat="false" ht="15" hidden="false" customHeight="false" outlineLevel="0" collapsed="false">
      <c r="A97" s="10" t="s">
        <v>731</v>
      </c>
      <c r="B97" s="10" t="s">
        <v>734</v>
      </c>
      <c r="C97" s="10" t="s">
        <v>732</v>
      </c>
      <c r="D97" s="10" t="s">
        <v>729</v>
      </c>
    </row>
    <row r="98" customFormat="false" ht="15" hidden="false" customHeight="false" outlineLevel="0" collapsed="false">
      <c r="A98" s="10" t="s">
        <v>731</v>
      </c>
      <c r="B98" s="10" t="s">
        <v>735</v>
      </c>
      <c r="C98" s="10" t="s">
        <v>732</v>
      </c>
      <c r="D98" s="10" t="s">
        <v>729</v>
      </c>
    </row>
    <row r="99" customFormat="false" ht="15" hidden="false" customHeight="false" outlineLevel="0" collapsed="false">
      <c r="A99" s="10" t="s">
        <v>731</v>
      </c>
      <c r="B99" s="10" t="s">
        <v>736</v>
      </c>
      <c r="C99" s="10" t="s">
        <v>732</v>
      </c>
      <c r="D99" s="10" t="s">
        <v>729</v>
      </c>
    </row>
    <row r="100" customFormat="false" ht="15" hidden="false" customHeight="false" outlineLevel="0" collapsed="false">
      <c r="A100" s="10" t="s">
        <v>731</v>
      </c>
      <c r="B100" s="10" t="s">
        <v>157</v>
      </c>
      <c r="C100" s="10" t="s">
        <v>732</v>
      </c>
      <c r="D100" s="10" t="s">
        <v>729</v>
      </c>
    </row>
    <row r="101" customFormat="false" ht="15" hidden="false" customHeight="false" outlineLevel="0" collapsed="false">
      <c r="A101" s="10" t="s">
        <v>731</v>
      </c>
      <c r="B101" s="10" t="s">
        <v>124</v>
      </c>
      <c r="C101" s="10" t="s">
        <v>732</v>
      </c>
      <c r="D101" s="10" t="s">
        <v>729</v>
      </c>
    </row>
  </sheetData>
  <mergeCells count="4">
    <mergeCell ref="A1:H1"/>
    <mergeCell ref="A2:H2"/>
    <mergeCell ref="A4:D4"/>
    <mergeCell ref="F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2026-07-18T19:58:45Z</dcterms:created>
  <dc:creator>openpyxl</dc:creator>
  <dc:description/>
  <dc:language>en-US</dc:language>
  <cp:lastModifiedBy/>
  <dcterms:modified xsi:type="dcterms:W3CDTF">2026-07-18T19:59:53Z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