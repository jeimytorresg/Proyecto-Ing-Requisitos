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Usuario iTC\Downloads\"/>
    </mc:Choice>
  </mc:AlternateContent>
  <xr:revisionPtr revIDLastSave="0" documentId="13_ncr:1_{608CCE27-20AA-4275-ADB8-D80C6BD52DD7}" xr6:coauthVersionLast="47" xr6:coauthVersionMax="47" xr10:uidLastSave="{00000000-0000-0000-0000-000000000000}"/>
  <bookViews>
    <workbookView xWindow="-108" yWindow="-108" windowWidth="23256" windowHeight="12456" tabRatio="500" firstSheet="2" activeTab="3" xr2:uid="{00000000-000D-0000-FFFF-FFFF00000000}"/>
  </bookViews>
  <sheets>
    <sheet name="Instrucciones" sheetId="1" r:id="rId1"/>
    <sheet name="Guía BDD" sheetId="2" r:id="rId2"/>
    <sheet name="Registro de Validación" sheetId="3" r:id="rId3"/>
    <sheet name="Checklist UR-01" sheetId="4" r:id="rId4"/>
    <sheet name="Checklist UR-02" sheetId="5" r:id="rId5"/>
    <sheet name="Checklist UR-03" sheetId="6" r:id="rId6"/>
    <sheet name="Checklist UR-04" sheetId="7" r:id="rId7"/>
    <sheet name="Checklist UR-05" sheetId="8" r:id="rId8"/>
    <sheet name="Checklist UR-06" sheetId="9" r:id="rId9"/>
    <sheet name="Checklist UR-07" sheetId="10" r:id="rId10"/>
    <sheet name="Checklist UR-08" sheetId="11" r:id="rId11"/>
    <sheet name="Checklist UR-09" sheetId="12" r:id="rId12"/>
    <sheet name="Checklist UR-10" sheetId="13" r:id="rId13"/>
    <sheet name="Checklist UR-11" sheetId="14" r:id="rId14"/>
    <sheet name="Checklist UR-12" sheetId="15" r:id="rId15"/>
  </sheets>
  <definedNames>
    <definedName name="_xlnm._FilterDatabase" localSheetId="2" hidden="1">'Registro de Validación'!$B$11:$I$41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6" i="15" l="1"/>
  <c r="D35" i="15"/>
  <c r="D37" i="15" s="1"/>
  <c r="D36" i="14"/>
  <c r="D35" i="14"/>
  <c r="D37" i="14" s="1"/>
  <c r="D36" i="13"/>
  <c r="D35" i="13"/>
  <c r="D37" i="13" s="1"/>
  <c r="D36" i="12"/>
  <c r="D35" i="12"/>
  <c r="D37" i="12" s="1"/>
  <c r="D36" i="11"/>
  <c r="D35" i="11"/>
  <c r="D37" i="11" s="1"/>
  <c r="D37" i="10"/>
  <c r="D36" i="10"/>
  <c r="D35" i="10"/>
  <c r="D36" i="9"/>
  <c r="D35" i="9"/>
  <c r="D37" i="9" s="1"/>
  <c r="D36" i="8"/>
  <c r="D35" i="8"/>
  <c r="D37" i="8" s="1"/>
  <c r="D36" i="7"/>
  <c r="D35" i="7"/>
  <c r="D37" i="7" s="1"/>
  <c r="D36" i="6"/>
  <c r="D35" i="6"/>
  <c r="D37" i="6" s="1"/>
  <c r="D36" i="5"/>
  <c r="D37" i="5" s="1"/>
  <c r="D35" i="5"/>
  <c r="D36" i="4"/>
  <c r="D35" i="4"/>
  <c r="D37" i="4" s="1"/>
  <c r="H6" i="3"/>
  <c r="F6" i="3"/>
  <c r="D6" i="3"/>
  <c r="E8" i="3" s="1"/>
  <c r="B6" i="3"/>
</calcChain>
</file>

<file path=xl/sharedStrings.xml><?xml version="1.0" encoding="utf-8"?>
<sst xmlns="http://schemas.openxmlformats.org/spreadsheetml/2006/main" count="1191" uniqueCount="207">
  <si>
    <t>PLANTILLA DE VALIDACIÓN DE REQUISITOS</t>
  </si>
  <si>
    <t>Detección de ambigüedades en User Stories + Criterios de Aceptación BDD (antes de codificar)</t>
  </si>
  <si>
    <t>Proyecto / Curso:</t>
  </si>
  <si>
    <t>Responsable de validación:</t>
  </si>
  <si>
    <t>Fecha:</t>
  </si>
  <si>
    <t>Versión de la plantilla:</t>
  </si>
  <si>
    <t>1.0</t>
  </si>
  <si>
    <t>Marco de referencia:</t>
  </si>
  <si>
    <t>ISO/IEC/IEEE 29148:2018 · BDD (Given–When–Then) · INVEST</t>
  </si>
  <si>
    <t>OBJETIVO</t>
  </si>
  <si>
    <t>Proporcionar un instrumento estructurado para validar la calidad de las user stories, detectar ambigüedades (semánticas, funcionales, temporales y de alcance) y verificar que cada historia cuente con criterios de aceptación BDD verificables ANTES de iniciar la codificación. Con ello se reduce el retrabajo, se mejora la trazabilidad y se alinea el equipo en torno a un lenguaje común (lenguaje ubicuo).</t>
  </si>
  <si>
    <t>CÓMO USAR ESTA PLANTILLA</t>
  </si>
  <si>
    <t>1. Checklist Ambigüedades</t>
  </si>
  <si>
    <t>Evalúe cada user story frente a los ítems del checklist. Marque el Estado (✓ Cumple / ✗ No cumple / N/A) usando la lista desplegable. Registre hallazgos y la reescritura sugerida.</t>
  </si>
  <si>
    <t>2. Guía BDD</t>
  </si>
  <si>
    <t>Consulte la guía rápida para redactar criterios de aceptación en formato Given–When–Then. Incluye plantilla, ejemplos correctos/incorrectos y una checklist de calidad de escenarios.</t>
  </si>
  <si>
    <t>3. Registro de Validación</t>
  </si>
  <si>
    <t>Consolide el veredicto por historia (Aprobada / Aprobada con observaciones / Rechazada). El tablero calcula automáticamente el estado del backlog.</t>
  </si>
  <si>
    <t>Regla de oro</t>
  </si>
  <si>
    <t>Ninguna historia debe pasar a desarrollo (Definition of Ready) sin: (a) cero ambigüedades críticas y (b) al menos un escenario BDD verificable.</t>
  </si>
  <si>
    <t>LEYENDA DE ESTADOS</t>
  </si>
  <si>
    <t>✓ Cumple</t>
  </si>
  <si>
    <t>El criterio se satisface plenamente.</t>
  </si>
  <si>
    <t>✗ No cumple</t>
  </si>
  <si>
    <t>Se detecta una ambigüedad o deficiencia que debe corregirse.</t>
  </si>
  <si>
    <t>⚠ Revisar</t>
  </si>
  <si>
    <t>Requiere aclaración o depende de otra decisión.</t>
  </si>
  <si>
    <t>N/A</t>
  </si>
  <si>
    <t>No aplica a esta historia.</t>
  </si>
  <si>
    <t>GUÍA RÁPIDA — CRITERIOS DE ACEPTACIÓN BDD</t>
  </si>
  <si>
    <t>Behavior-Driven Development · Estructura Given–When–Then (Dado–Cuando–Entonces)</t>
  </si>
  <si>
    <t>1. ESTRUCTURA (Gherkin)</t>
  </si>
  <si>
    <t>Given (Dado)</t>
  </si>
  <si>
    <t>Contexto / precondición: el estado del sistema antes de la acción.</t>
  </si>
  <si>
    <t>When (Cuando)</t>
  </si>
  <si>
    <t>El evento o acción que dispara el comportamiento a validar.</t>
  </si>
  <si>
    <t>Then (Entonces)</t>
  </si>
  <si>
    <t>El resultado observable y verificable que debe cumplirse.</t>
  </si>
  <si>
    <t>And / But (Y / Pero)</t>
  </si>
  <si>
    <t>Encadena condiciones o resultados adicionales dentro de cualquier bloque.</t>
  </si>
  <si>
    <t>2. PLANTILLA REUTILIZABLE</t>
  </si>
  <si>
    <t>Escenario: &lt;título breve y descriptivo del comportamiento&gt;
  Dado &lt;precondición / contexto inicial&gt;
    Y   &lt;precondición adicional, si aplica&gt;
  Cuando &lt;acción o evento que ejecuta el usuario/sistema&gt;
  Entonces &lt;resultado esperado, observable y medible&gt;
    Y   &lt;resultado adicional / efecto secundario verificable&gt;</t>
  </si>
  <si>
    <t>3. EJEMPLO: DE AMBIGUO A VERIFICABLE</t>
  </si>
  <si>
    <t>User Story</t>
  </si>
  <si>
    <t>✗ Criterio ambiguo (mal)</t>
  </si>
  <si>
    <t>✓ Criterio BDD verificable (bien)</t>
  </si>
  <si>
    <t>Como cliente, quiero recuperar mi contraseña para volver a ingresar a mi cuenta.</t>
  </si>
  <si>
    <t>El sistema debe permitir recuperar la contraseña de forma rápida y sencilla.
(No define disparador, tiempo, ni resultado verificable.)</t>
  </si>
  <si>
    <t>Escenario: Recuperación con correo registrado
  Dado que el cliente tiene una cuenta con el correo 'ana@mail.com'
  Cuando solicita recuperar su contraseña con ese correo
  Entonces el sistema envía un enlace de restablecimiento en menos de 60 segundos
    Y el enlace expira a los 15 minutos
Escenario: Correo no registrado
  Dado que el correo 'x@mail.com' no existe
  Cuando el cliente solicita recuperación
  Entonces se muestra 'Si el correo existe, enviaremos instrucciones' sin revelar si está registrado</t>
  </si>
  <si>
    <t>4. CHECKLIST DE CALIDAD DEL ESCENARIO (antes de codificar)</t>
  </si>
  <si>
    <t>OK</t>
  </si>
  <si>
    <t>Criterio de calidad</t>
  </si>
  <si>
    <t>☐</t>
  </si>
  <si>
    <t>Cada escenario valida UN solo comportamiento (atómico).</t>
  </si>
  <si>
    <t>El resultado en 'Entonces' es observable y medible (sin ambigüedad).</t>
  </si>
  <si>
    <t>Se cubre al menos un camino feliz y un camino alterno/negativo.</t>
  </si>
  <si>
    <t>No hay detalles de implementación (describe QUÉ, no CÓMO).</t>
  </si>
  <si>
    <t>Usa el lenguaje ubicuo del dominio (términos del glosario).</t>
  </si>
  <si>
    <t>Los datos de ejemplo son concretos (valores reales, no 'algún dato').</t>
  </si>
  <si>
    <t>Es independiente: no depende del orden de ejecución de otros escenarios.</t>
  </si>
  <si>
    <t>Es automatizable (se puede traducir a una prueba).</t>
  </si>
  <si>
    <t>Cubre precondiciones de tiempo/estado cuando aplica (temporalidad).</t>
  </si>
  <si>
    <t>El alcance del escenario coincide con el de la user story (sin desbordarse).</t>
  </si>
  <si>
    <t>REGISTRO DE VALIDACIÓN DEL BACKLOG</t>
  </si>
  <si>
    <t>TABLERO</t>
  </si>
  <si>
    <t>Historias registradas</t>
  </si>
  <si>
    <t>Aprobadas</t>
  </si>
  <si>
    <t>Con observaciones</t>
  </si>
  <si>
    <t>Rechazadas</t>
  </si>
  <si>
    <t>% Backlog listo (Definition of Ready):</t>
  </si>
  <si>
    <t>ID</t>
  </si>
  <si>
    <t>User Story (Como… quiero… para…)</t>
  </si>
  <si>
    <t>Prioridad</t>
  </si>
  <si>
    <t>Ambig. críticas</t>
  </si>
  <si>
    <t>¿Tiene BDD?</t>
  </si>
  <si>
    <t>Escenarios</t>
  </si>
  <si>
    <t>Veredicto</t>
  </si>
  <si>
    <t>Observaciones / acción</t>
  </si>
  <si>
    <t>UR-01</t>
  </si>
  <si>
    <t>Como asesor de atención, necesito buscar al afiliado por número de cédula o nombre desde una sola pantalla y ver toda su información consolidada.</t>
  </si>
  <si>
    <t>Alta</t>
  </si>
  <si>
    <t>Sí</t>
  </si>
  <si>
    <t>Aprobada con observaciones</t>
  </si>
  <si>
    <t>El criterio de aceptación (RF-004) solo cubre 'existe' / 'no existe', pero no define qué ocurre si la búsqueda por nombre devuelve varios afiliados homónimos.; No se acota qué pasa si la búsqueda por nombre parcial devuelve una cantidad muy grande de resultados (¿paginación?, ¿límite máximo?).</t>
  </si>
  <si>
    <t>UR-02</t>
  </si>
  <si>
    <t>Como asesor, necesito registrar una nueva solicitud indicando tipo, descripción y datos del afiliado, sin duplicar registros existentes.</t>
  </si>
  <si>
    <t>Se define el tiempo de búsqueda (RF-004, ≤3s) pero no un tiempo máximo de respuesta al confirmar el registro de la nueva solicitud.</t>
  </si>
  <si>
    <t>UR-03</t>
  </si>
  <si>
    <t>Como asesor y supervisor, necesito ver el estado actual de cada solicitud (Pendiente, En proceso, Resuelta, Rechazada) en tiempo real.</t>
  </si>
  <si>
    <t>Rechazada</t>
  </si>
  <si>
    <t>'Tiempo real' no está cuantificado: no se especifica el mecanismo (polling, WebSocket) ni la frecuencia máxima de actualización, a diferencia de UR-11 (RF-013) que sí define '5 minutos de desfase'.</t>
  </si>
  <si>
    <t>UR-04</t>
  </si>
  <si>
    <t>Como analista de beneficios, necesito acceder al historial completo de solicitudes y trámites de un afiliado, incluyendo documentos adjuntos.</t>
  </si>
  <si>
    <t>No se define paginación ni límite para afiliados con historial extenso de solicitudes y adjuntos (riesgo ya señalado en la auditoría de BA de la Fase 1).</t>
  </si>
  <si>
    <t>UR-05</t>
  </si>
  <si>
    <t>Como analista, necesito asignar y reasignar solicitudes a asesores o áreas específicas con una justificación registrada.</t>
  </si>
  <si>
    <t>La historia agrupa dos capacidades distintas ('asignar' y 'reasignar') en un solo enunciado, igual que ocurría con RF-008 antes de su corrección por atomicidad (dividido en RF-008a/b).; Por la misma razón del ítem 6, la historia podría exceder el tamaño recomendado para completarse íntegramente en un sprint (INVEST — Small).; No se define qué ocurre si el usuario o área de destino de la reasignación está inactivo o no existe.</t>
  </si>
  <si>
    <t>UR-06</t>
  </si>
  <si>
    <t>Como supervisor, necesito generar reportes de atención que muestren tiempos de respuesta promedio, volumen de solicitudes y tasa de resolución por período.</t>
  </si>
  <si>
    <t>No se define un límite máximo de registros o rango de fechas exportable en el reporte.</t>
  </si>
  <si>
    <t>UR-07</t>
  </si>
  <si>
    <t>Como afiliado, necesito recibir notificaciones sobre el cambio de estado de mi solicitud por correo electrónico.</t>
  </si>
  <si>
    <t>Media</t>
  </si>
  <si>
    <t>No se define qué ocurre si el correo del afiliado es inválido, está desactualizado, o el envío falla (rebote).</t>
  </si>
  <si>
    <t>UR-08</t>
  </si>
  <si>
    <t>Como administrador, necesito crear, modificar y desactivar cuentas de usuario asignando roles y permisos específicos.</t>
  </si>
  <si>
    <t>La historia agrupa tres capacidades ('crear', 'modificar', 'desactivar') en un solo enunciado.; Por la misma razón del ítem 6, conviene evaluar si la historia es demasiado grande para un solo sprint (INVEST — Small).</t>
  </si>
  <si>
    <t>UR-09</t>
  </si>
  <si>
    <t>Como responsable de nómina, necesito adjuntar documentos digitales a cada solicitud o trámite para mantener el expediente digital completo.</t>
  </si>
  <si>
    <t>El catálogo define el límite de tamaño por archivo (10 MB) pero no la cantidad máxima de archivos adjuntos por solicitud.</t>
  </si>
  <si>
    <t>UR-10</t>
  </si>
  <si>
    <t>Como cualquier usuario del sistema, necesito autenticarme con mis credenciales institucionales (usuario y contraseña del directorio institucional LDAP/AD).</t>
  </si>
  <si>
    <t>La historia describe 'autenticarse' pero su criterio de aceptación (RF-014) es sobre el cierre de sesión por inactividad, no sobre el proceso de login en sí — hay un desacople entre el enunciado de la historia y el criterio verificable.</t>
  </si>
  <si>
    <t>UR-11</t>
  </si>
  <si>
    <t>Como supervisor, necesito ver un dashboard con indicadores clave de atención (solicitudes abiertas, promedio de resolución, solicitudes vencidas) en tiempo real.</t>
  </si>
  <si>
    <t>Aprobada</t>
  </si>
  <si>
    <t>Sin observaciones.</t>
  </si>
  <si>
    <t>UR-12</t>
  </si>
  <si>
    <t>Como asesor, necesito registrar comentarios o anotaciones internas en una solicitud visibles solo para el personal del fondo.</t>
  </si>
  <si>
    <t>No se define una longitud máxima para el texto de la anotación interna.</t>
  </si>
  <si>
    <t>CHECKLIST DE DETECCIÓN DE AMBIGÜEDADES EN USER STORIES</t>
  </si>
  <si>
    <t>Equipo APE — Fondo de Pensiones</t>
  </si>
  <si>
    <t>#</t>
  </si>
  <si>
    <t>Aspecto a verificar</t>
  </si>
  <si>
    <t>Pregunta guía / criterio</t>
  </si>
  <si>
    <t>Estado</t>
  </si>
  <si>
    <t>Hallazgo detectado</t>
  </si>
  <si>
    <t>Reescritura sugerida</t>
  </si>
  <si>
    <t>AMBIGÜEDAD SEMÁNTICA</t>
  </si>
  <si>
    <t>Términos vagos / subjetivos</t>
  </si>
  <si>
    <t>¿Se evitan palabras como 'rápido', 'fácil', 'amigable', 'eficiente', 'intuitivo', 'óptimo' sin métrica?</t>
  </si>
  <si>
    <t>Lenguaje ubicuo</t>
  </si>
  <si>
    <t>¿Los términos del dominio están definidos en un glosario y se usan de forma consistente?</t>
  </si>
  <si>
    <t>Sinónimos / homónimos</t>
  </si>
  <si>
    <t>¿Un mismo concepto se nombra siempre igual? ¿Un término no tiene dos significados?</t>
  </si>
  <si>
    <t>Pronombres sin referente</t>
  </si>
  <si>
    <t>¿Se evita 'esto', 'eso', 'lo anterior' sin un sujeto claro?</t>
  </si>
  <si>
    <t>Adjetivos cuantificables</t>
  </si>
  <si>
    <t>¿Los calificativos ('grande', 'muchos', 'suficiente') se expresan con números o rangos?</t>
  </si>
  <si>
    <t>AMBIGÜEDAD FUNCIONAL</t>
  </si>
  <si>
    <t>Acción única y clara</t>
  </si>
  <si>
    <t>¿La historia describe una sola capacidad? ¿Se evita el 'y/o' que oculta múltiples funciones?</t>
  </si>
  <si>
    <t>Actor identificado</t>
  </si>
  <si>
    <t>¿Está claro QUIÉN ejecuta la acción y quién se beneficia?</t>
  </si>
  <si>
    <t>Comportamiento esperado</t>
  </si>
  <si>
    <t>¿Se especifica el resultado observable de la acción (no solo la intención)?</t>
  </si>
  <si>
    <t>Manejo de errores / excepciones</t>
  </si>
  <si>
    <t>¿Se describen los caminos alternos y qué ocurre ante entradas inválidas?</t>
  </si>
  <si>
    <t>El criterio de aceptación (RF-004) solo cubre 'existe' / 'no existe', pero no define qué ocurre si la búsqueda por nombre devuelve varios afiliados homónimos.</t>
  </si>
  <si>
    <t>Agregar escenario: 'Dado que existen 2 o más afiliados con el mismo nombre, cuando el asesor busca, entonces el sistema muestra una lista de resultados (nombre, cédula, estado) para que el asesor seleccione uno.'</t>
  </si>
  <si>
    <t>Reglas de negocio explícitas</t>
  </si>
  <si>
    <t>¿Las validaciones, cálculos y condiciones están declaradas y no supuestas?</t>
  </si>
  <si>
    <t>Dependencias funcionales</t>
  </si>
  <si>
    <t>¿Se identifican precondiciones o historias de las que depende?</t>
  </si>
  <si>
    <t>AMBIGÜEDAD TEMPORAL</t>
  </si>
  <si>
    <t>Momento / disparador</t>
  </si>
  <si>
    <t>¿Está claro CUÁNDO ocurre la acción (evento, condición o frecuencia)?</t>
  </si>
  <si>
    <t>Orden y secuencia</t>
  </si>
  <si>
    <t>¿Se define el orden de los pasos cuando importa la secuencia?</t>
  </si>
  <si>
    <t>Plazos y tiempos de respuesta</t>
  </si>
  <si>
    <t>¿Se cuantifican tiempos, timeouts, SLA o vigencias ('en X segundos', 'hasta las 23:59')?</t>
  </si>
  <si>
    <t>Estados y transiciones</t>
  </si>
  <si>
    <t>¿Se describen los estados del objeto y las transiciones válidas entre ellos?</t>
  </si>
  <si>
    <t>Concurrencia / simultaneidad</t>
  </si>
  <si>
    <t>¿Se contempla qué pasa si varios usuarios/procesos actúan a la vez?</t>
  </si>
  <si>
    <t>AMBIGÜEDAD DE ALCANCE</t>
  </si>
  <si>
    <t>Límites (in/out of scope)</t>
  </si>
  <si>
    <t>¿Se declara explícitamente qué queda FUERA del alcance de la historia?</t>
  </si>
  <si>
    <t>Tamaño / granularidad (INVEST)</t>
  </si>
  <si>
    <t>¿La historia es lo bastante pequeña para completarse en un sprint? ¿Es divisible?</t>
  </si>
  <si>
    <t>Datos y volúmenes</t>
  </si>
  <si>
    <t>¿Se acotan cantidades, límites de registros, formatos y rangos de datos?</t>
  </si>
  <si>
    <t>No se acota qué pasa si la búsqueda por nombre parcial devuelve una cantidad muy grande de resultados (¿paginación?, ¿límite máximo?).</t>
  </si>
  <si>
    <t>Definir un límite de resultados mostrados (ej. máx. 20) y mecanismo de paginación o refinamiento de búsqueda.</t>
  </si>
  <si>
    <t>Roles y permisos afectados</t>
  </si>
  <si>
    <t>¿Se delimita a qué perfiles/roles aplica y a cuáles no?</t>
  </si>
  <si>
    <t>Plataformas / entornos</t>
  </si>
  <si>
    <t>¿Se especifican dispositivos, navegadores, idiomas o entornos cubiertos?</t>
  </si>
  <si>
    <t>Criterios medibles / testables</t>
  </si>
  <si>
    <t>¿Cada afirmación puede verificarse objetivamente con una prueba?</t>
  </si>
  <si>
    <t>Ítems 'No cumple' (críticos):</t>
  </si>
  <si>
    <t>Ítems 'Revisar':</t>
  </si>
  <si>
    <t>VEREDICTO (Definition of Ready):</t>
  </si>
  <si>
    <t>Agregar: 'la solicitud debe crearse en un tiempo ≤ X segundos tras confirmar.'</t>
  </si>
  <si>
    <t>Sustituir 'en tiempo real' por una métrica verificable, ej. 'el cambio de estado es visible en la interfaz en ≤ 5 segundos sin recargar la página.'</t>
  </si>
  <si>
    <t>No se define qué ocurre si dos usuarios actualizan el estado de la misma solicitud simultáneamente (condición de carrera).</t>
  </si>
  <si>
    <t>Agregar regla de negocio: última actualización prevalece + registro de ambos intentos en el historial, o bloqueo optimista con aviso al segundo usuario.</t>
  </si>
  <si>
    <t>Definir paginación del historial (ej. 20 registros por página) y carga diferida de adjuntos.</t>
  </si>
  <si>
    <t>La historia agrupa dos capacidades distintas ('asignar' y 'reasignar') en un solo enunciado, igual que ocurría con RF-008 antes de su corrección por atomicidad (dividido en RF-008a/b).</t>
  </si>
  <si>
    <t>Dividir en UR-05a (asignar solicitud sin responsable previo) y UR-05b (reasignar solicitud con responsable previo), replicando la corrección ya aplicada a RF-008.</t>
  </si>
  <si>
    <t>No se define qué ocurre si el usuario o área de destino de la reasignación está inactivo o no existe.</t>
  </si>
  <si>
    <t>Agregar escenario: 'si el destino no existe o está inactivo, el sistema rechaza la reasignación y muestra un mensaje de error.'</t>
  </si>
  <si>
    <t>Por la misma razón del ítem 6, la historia podría exceder el tamaño recomendado para completarse íntegramente en un sprint (INVEST — Small).</t>
  </si>
  <si>
    <t>Ver reescritura del ítem 6: dividir en dos historias más pequeñas.</t>
  </si>
  <si>
    <t>Acotar el rango máximo de fechas por reporte (ej. hasta 12 meses) para evitar exportaciones excesivamente grandes.</t>
  </si>
  <si>
    <t>El actor 'afiliado' no es un usuario del sistema (no inicia sesión); la historia describe un efecto de backend más que una interacción de usuario, lo cual puede generar confusión en el backlog.</t>
  </si>
  <si>
    <t>Aclarar en la historia que es un proceso automático disparado por RF-010, sin pantalla propia (ya se documentó así en la Fase 2).</t>
  </si>
  <si>
    <t>Agregar escenario: 'Dado que el correo del afiliado no es válido, cuando el sistema intenta notificar, entonces registra el fallo de envío en el log y lo marca para reintento o revisión manual.'</t>
  </si>
  <si>
    <t>La historia agrupa tres capacidades ('crear', 'modificar', 'desactivar') en un solo enunciado.</t>
  </si>
  <si>
    <t>Dividir en UR-08a (crear cuenta), UR-08b (modificar cuenta) y UR-08c (desactivar cuenta), de forma análoga a como se corrigió RF-009 en el catálogo (adjuntar/visualizar/descargar).</t>
  </si>
  <si>
    <t>Por la misma razón del ítem 6, conviene evaluar si la historia es demasiado grande para un solo sprint (INVEST — Small).</t>
  </si>
  <si>
    <t>Ver reescritura del ítem 6.</t>
  </si>
  <si>
    <t>Definir explícitamente un máximo de archivos por solicitud (por ejemplo, hasta 10 adjuntos) antes de pasar a desarrollo.</t>
  </si>
  <si>
    <t>Separar en dos historias: (a) 'Como usuario, necesito autenticarme con mis credenciales LDAP/AD para acceder al sistema' con criterios propios de login (validación de credenciales, bloqueo tras 5 intentos), y (b) la actual, enfocada solo en el cierre de sesión por inactividad.</t>
  </si>
  <si>
    <t>No se define qué ocurre si el mismo usuario inicia sesión desde dos dispositivos o navegadores al mismo tiempo.</t>
  </si>
  <si>
    <t>Definir si se permite sesión concurrente múltiple o si la segunda sesión invalida la primera.</t>
  </si>
  <si>
    <t>Definir un límite de caracteres (ej. 500, igual que la descripción de la solicitud en RF-005).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</si>
</sst>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5" x14ac:knownFonts="1">
    <font>
      <sz val="11"/>
      <color theme="1"/>
      <name val="Calibri"/>
      <family val="2"/>
      <charset val="1"/>
    </font>
    <font>
      <b/>
      <sz val="20"/>
      <color rgb="FFFFFFFF"/>
      <name val="Calibri"/>
      <charset val="1"/>
    </font>
    <font>
      <i/>
      <sz val="11"/>
      <color rgb="FFFFFFFF"/>
      <name val="Calibri"/>
      <charset val="1"/>
    </font>
    <font>
      <b/>
      <sz val="10"/>
      <color rgb="FF28251D"/>
      <name val="Calibri"/>
      <charset val="1"/>
    </font>
    <font>
      <sz val="10"/>
      <color rgb="FF7A7974"/>
      <name val="Calibri"/>
      <charset val="1"/>
    </font>
    <font>
      <b/>
      <sz val="13"/>
      <color rgb="FF01696F"/>
      <name val="Calibri"/>
      <charset val="1"/>
    </font>
    <font>
      <sz val="10"/>
      <color rgb="FF28251D"/>
      <name val="Calibri"/>
      <charset val="1"/>
    </font>
    <font>
      <b/>
      <sz val="10"/>
      <color rgb="FFFFFFFF"/>
      <name val="Calibri"/>
      <charset val="1"/>
    </font>
    <font>
      <b/>
      <sz val="16"/>
      <color rgb="FFFFFFFF"/>
      <name val="Calibri"/>
      <charset val="1"/>
    </font>
    <font>
      <i/>
      <sz val="10"/>
      <color rgb="FFFFFFFF"/>
      <name val="Calibri"/>
      <charset val="1"/>
    </font>
    <font>
      <b/>
      <sz val="11"/>
      <color rgb="FFFFFFFF"/>
      <name val="Calibri"/>
      <charset val="1"/>
    </font>
    <font>
      <sz val="10"/>
      <color rgb="FF28251D"/>
      <name val="Consolas"/>
      <charset val="1"/>
    </font>
    <font>
      <sz val="10"/>
      <color rgb="FFA12C7B"/>
      <name val="Calibri"/>
      <charset val="1"/>
    </font>
    <font>
      <sz val="9"/>
      <color rgb="FF437A22"/>
      <name val="Consolas"/>
      <charset val="1"/>
    </font>
    <font>
      <sz val="11"/>
      <color rgb="FF28251D"/>
      <name val="Calibri"/>
      <charset val="1"/>
    </font>
    <font>
      <b/>
      <sz val="9"/>
      <color rgb="FFFFFFFF"/>
      <name val="Calibri"/>
      <charset val="1"/>
    </font>
    <font>
      <b/>
      <sz val="22"/>
      <color rgb="FF01696F"/>
      <name val="Calibri"/>
      <charset val="1"/>
    </font>
    <font>
      <b/>
      <sz val="22"/>
      <color rgb="FF437A22"/>
      <name val="Calibri"/>
      <charset val="1"/>
    </font>
    <font>
      <b/>
      <sz val="22"/>
      <color rgb="FF964219"/>
      <name val="Calibri"/>
      <charset val="1"/>
    </font>
    <font>
      <b/>
      <sz val="22"/>
      <color rgb="FFA12C7B"/>
      <name val="Calibri"/>
      <charset val="1"/>
    </font>
    <font>
      <b/>
      <sz val="12"/>
      <color rgb="FF437A22"/>
      <name val="Calibri"/>
      <charset val="1"/>
    </font>
    <font>
      <b/>
      <sz val="11"/>
      <color rgb="FFA12C7B"/>
      <name val="Calibri"/>
      <charset val="1"/>
    </font>
    <font>
      <b/>
      <sz val="11"/>
      <color rgb="FF964219"/>
      <name val="Calibri"/>
      <charset val="1"/>
    </font>
    <font>
      <b/>
      <sz val="11"/>
      <color rgb="FF28251D"/>
      <name val="Calibri"/>
      <charset val="1"/>
    </font>
    <font>
      <b/>
      <sz val="11"/>
      <color rgb="FF01696F"/>
      <name val="Calibri"/>
      <charset val="1"/>
    </font>
  </fonts>
  <fills count="11">
    <fill>
      <patternFill patternType="none"/>
    </fill>
    <fill>
      <patternFill patternType="gray125"/>
    </fill>
    <fill>
      <patternFill patternType="solid">
        <fgColor rgb="FF01696F"/>
        <bgColor rgb="FF008080"/>
      </patternFill>
    </fill>
    <fill>
      <patternFill patternType="solid">
        <fgColor rgb="FF0C4E54"/>
        <bgColor rgb="FF01696F"/>
      </patternFill>
    </fill>
    <fill>
      <patternFill patternType="solid">
        <fgColor rgb="FFFBFBF9"/>
        <bgColor rgb="FFFFFFFF"/>
      </patternFill>
    </fill>
    <fill>
      <patternFill patternType="solid">
        <fgColor rgb="FF437A22"/>
        <bgColor rgb="FF808000"/>
      </patternFill>
    </fill>
    <fill>
      <patternFill patternType="solid">
        <fgColor rgb="FFA12C7B"/>
        <bgColor rgb="FF993366"/>
      </patternFill>
    </fill>
    <fill>
      <patternFill patternType="solid">
        <fgColor rgb="FF964219"/>
        <bgColor rgb="FF993366"/>
      </patternFill>
    </fill>
    <fill>
      <patternFill patternType="solid">
        <fgColor rgb="FF7A7974"/>
        <bgColor rgb="FF666699"/>
      </patternFill>
    </fill>
    <fill>
      <patternFill patternType="solid">
        <fgColor rgb="FFD19900"/>
        <bgColor rgb="FFFFCC00"/>
      </patternFill>
    </fill>
    <fill>
      <patternFill patternType="solid">
        <fgColor rgb="FFBCE2E7"/>
        <bgColor rgb="FFD4D1CA"/>
      </patternFill>
    </fill>
  </fills>
  <borders count="5">
    <border>
      <left/>
      <right/>
      <top/>
      <bottom/>
      <diagonal/>
    </border>
    <border>
      <left/>
      <right/>
      <top/>
      <bottom style="thin">
        <color rgb="FFD4D1CA"/>
      </bottom>
      <diagonal/>
    </border>
    <border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  <border>
      <left style="thin">
        <color rgb="FFD4D1CA"/>
      </left>
      <right/>
      <top style="thin">
        <color rgb="FFD4D1CA"/>
      </top>
      <bottom style="thin">
        <color rgb="FFD4D1CA"/>
      </bottom>
      <diagonal/>
    </border>
    <border>
      <left style="thin">
        <color rgb="FFD4D1CA"/>
      </left>
      <right/>
      <top style="thin">
        <color rgb="FFD4D1CA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5" fillId="6" borderId="2" xfId="0" applyFont="1" applyFill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left" vertical="top" wrapText="1"/>
    </xf>
    <xf numFmtId="0" fontId="7" fillId="3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9" fillId="3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top" wrapText="1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/>
    <xf numFmtId="0" fontId="3" fillId="4" borderId="2" xfId="0" applyFont="1" applyFill="1" applyBorder="1" applyAlignment="1">
      <alignment horizontal="left" vertical="top" wrapText="1"/>
    </xf>
    <xf numFmtId="0" fontId="6" fillId="4" borderId="2" xfId="0" applyFont="1" applyFill="1" applyBorder="1" applyAlignment="1">
      <alignment horizontal="left" vertical="top" wrapText="1"/>
    </xf>
    <xf numFmtId="0" fontId="7" fillId="5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top" wrapText="1"/>
    </xf>
    <xf numFmtId="0" fontId="3" fillId="0" borderId="0" xfId="0" applyFont="1"/>
    <xf numFmtId="164" fontId="20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1" xfId="0" applyBorder="1"/>
    <xf numFmtId="0" fontId="3" fillId="0" borderId="2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3" xfId="0" applyBorder="1" applyAlignment="1">
      <alignment horizontal="left" vertical="top" wrapText="1"/>
    </xf>
    <xf numFmtId="0" fontId="10" fillId="6" borderId="3" xfId="0" applyFont="1" applyFill="1" applyBorder="1" applyAlignment="1">
      <alignment horizontal="left" vertical="center" wrapText="1"/>
    </xf>
    <xf numFmtId="0" fontId="10" fillId="7" borderId="3" xfId="0" applyFont="1" applyFill="1" applyBorder="1" applyAlignment="1">
      <alignment horizontal="left" vertical="center" wrapText="1"/>
    </xf>
    <xf numFmtId="0" fontId="10" fillId="9" borderId="3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24" fillId="1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696F"/>
      <rgbColor rgb="FFD4D1CA"/>
      <rgbColor rgb="FF7A7974"/>
      <rgbColor rgb="FF9999FF"/>
      <rgbColor rgb="FFA12C7B"/>
      <rgbColor rgb="FFFBFBF9"/>
      <rgbColor rgb="FFCCFFFF"/>
      <rgbColor rgb="FF660066"/>
      <rgbColor rgb="FFFF8080"/>
      <rgbColor rgb="FF0066CC"/>
      <rgbColor rgb="FFBCE2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19900"/>
      <rgbColor rgb="FFFF6600"/>
      <rgbColor rgb="FF666699"/>
      <rgbColor rgb="FF969696"/>
      <rgbColor rgb="FF0C4E54"/>
      <rgbColor rgb="FF437A22"/>
      <rgbColor rgb="FF003300"/>
      <rgbColor rgb="FF333300"/>
      <rgbColor rgb="FF964219"/>
      <rgbColor rgb="FF993366"/>
      <rgbColor rgb="FF333399"/>
      <rgbColor rgb="FF28251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4"/>
  <sheetViews>
    <sheetView showGridLines="0" topLeftCell="A14" zoomScale="145" zoomScaleNormal="145" workbookViewId="0">
      <selection activeCell="C18" sqref="C18"/>
    </sheetView>
  </sheetViews>
  <sheetFormatPr baseColWidth="10" defaultColWidth="8.6640625" defaultRowHeight="14.4" x14ac:dyDescent="0.3"/>
  <cols>
    <col min="1" max="1" width="3" customWidth="1"/>
    <col min="2" max="2" width="26" customWidth="1"/>
    <col min="3" max="3" width="90" customWidth="1"/>
    <col min="4" max="4" width="3" customWidth="1"/>
  </cols>
  <sheetData>
    <row r="2" spans="2:3" ht="39.75" customHeight="1" x14ac:dyDescent="0.3">
      <c r="B2" s="14" t="s">
        <v>0</v>
      </c>
      <c r="C2" s="14"/>
    </row>
    <row r="3" spans="2:3" ht="21.75" customHeight="1" x14ac:dyDescent="0.3">
      <c r="B3" s="13" t="s">
        <v>1</v>
      </c>
      <c r="C3" s="13"/>
    </row>
    <row r="5" spans="2:3" ht="15" customHeight="1" x14ac:dyDescent="0.3">
      <c r="B5" s="15" t="s">
        <v>2</v>
      </c>
      <c r="C5" s="16"/>
    </row>
    <row r="6" spans="2:3" ht="15" customHeight="1" x14ac:dyDescent="0.3">
      <c r="B6" s="15" t="s">
        <v>3</v>
      </c>
      <c r="C6" s="16"/>
    </row>
    <row r="7" spans="2:3" ht="15" customHeight="1" x14ac:dyDescent="0.3">
      <c r="B7" s="15" t="s">
        <v>4</v>
      </c>
      <c r="C7" s="16"/>
    </row>
    <row r="8" spans="2:3" ht="15" customHeight="1" x14ac:dyDescent="0.3">
      <c r="B8" s="15" t="s">
        <v>5</v>
      </c>
      <c r="C8" s="16" t="s">
        <v>6</v>
      </c>
    </row>
    <row r="9" spans="2:3" ht="15" customHeight="1" x14ac:dyDescent="0.3">
      <c r="B9" s="15" t="s">
        <v>7</v>
      </c>
      <c r="C9" s="16" t="s">
        <v>8</v>
      </c>
    </row>
    <row r="11" spans="2:3" ht="15.75" customHeight="1" x14ac:dyDescent="0.35">
      <c r="B11" s="17" t="s">
        <v>9</v>
      </c>
    </row>
    <row r="12" spans="2:3" ht="57.75" customHeight="1" x14ac:dyDescent="0.3">
      <c r="B12" s="12" t="s">
        <v>10</v>
      </c>
      <c r="C12" s="12"/>
    </row>
    <row r="14" spans="2:3" ht="15.75" customHeight="1" x14ac:dyDescent="0.35">
      <c r="B14" s="17" t="s">
        <v>11</v>
      </c>
    </row>
    <row r="15" spans="2:3" ht="39.75" customHeight="1" x14ac:dyDescent="0.3">
      <c r="B15" s="18" t="s">
        <v>12</v>
      </c>
      <c r="C15" s="19" t="s">
        <v>13</v>
      </c>
    </row>
    <row r="16" spans="2:3" ht="39.75" customHeight="1" x14ac:dyDescent="0.3">
      <c r="B16" s="18" t="s">
        <v>14</v>
      </c>
      <c r="C16" s="19" t="s">
        <v>15</v>
      </c>
    </row>
    <row r="17" spans="2:3" ht="39.75" customHeight="1" x14ac:dyDescent="0.3">
      <c r="B17" s="18" t="s">
        <v>16</v>
      </c>
      <c r="C17" s="19" t="s">
        <v>17</v>
      </c>
    </row>
    <row r="18" spans="2:3" ht="39.75" customHeight="1" x14ac:dyDescent="0.3">
      <c r="B18" s="18" t="s">
        <v>18</v>
      </c>
      <c r="C18" s="19" t="s">
        <v>19</v>
      </c>
    </row>
    <row r="20" spans="2:3" ht="15.75" customHeight="1" x14ac:dyDescent="0.35">
      <c r="B20" s="17" t="s">
        <v>20</v>
      </c>
    </row>
    <row r="21" spans="2:3" ht="15" customHeight="1" x14ac:dyDescent="0.3">
      <c r="B21" s="20" t="s">
        <v>21</v>
      </c>
      <c r="C21" s="21" t="s">
        <v>22</v>
      </c>
    </row>
    <row r="22" spans="2:3" ht="15" customHeight="1" x14ac:dyDescent="0.3">
      <c r="B22" s="22" t="s">
        <v>23</v>
      </c>
      <c r="C22" s="21" t="s">
        <v>24</v>
      </c>
    </row>
    <row r="23" spans="2:3" ht="15" customHeight="1" x14ac:dyDescent="0.3">
      <c r="B23" s="23" t="s">
        <v>25</v>
      </c>
      <c r="C23" s="21" t="s">
        <v>26</v>
      </c>
    </row>
    <row r="24" spans="2:3" ht="15" customHeight="1" x14ac:dyDescent="0.3">
      <c r="B24" s="24" t="s">
        <v>27</v>
      </c>
      <c r="C24" s="21" t="s">
        <v>28</v>
      </c>
    </row>
  </sheetData>
  <mergeCells count="3">
    <mergeCell ref="B2:C2"/>
    <mergeCell ref="B3:C3"/>
    <mergeCell ref="B12:C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35"/>
  <sheetViews>
    <sheetView showGridLines="0" topLeftCell="A12" zoomScaleNormal="100" workbookViewId="0"/>
  </sheetViews>
  <sheetFormatPr baseColWidth="10" defaultColWidth="8.6640625" defaultRowHeight="14.4" x14ac:dyDescent="0.3"/>
  <cols>
    <col min="1" max="1" width="3" customWidth="1"/>
    <col min="2" max="2" width="22" customWidth="1"/>
    <col min="3" max="5" width="40" customWidth="1"/>
    <col min="6" max="6" width="3" customWidth="1"/>
  </cols>
  <sheetData>
    <row r="2" spans="2:5" ht="33.75" customHeight="1" x14ac:dyDescent="0.3">
      <c r="B2" s="11" t="s">
        <v>29</v>
      </c>
      <c r="C2" s="11"/>
      <c r="D2" s="11"/>
      <c r="E2" s="11"/>
    </row>
    <row r="3" spans="2:5" ht="15" customHeight="1" x14ac:dyDescent="0.3">
      <c r="B3" s="10" t="s">
        <v>30</v>
      </c>
      <c r="C3" s="10"/>
      <c r="D3" s="10"/>
      <c r="E3" s="10"/>
    </row>
    <row r="5" spans="2:5" ht="15.75" customHeight="1" x14ac:dyDescent="0.35">
      <c r="B5" s="17" t="s">
        <v>31</v>
      </c>
    </row>
    <row r="6" spans="2:5" ht="30" customHeight="1" x14ac:dyDescent="0.3">
      <c r="B6" s="25" t="s">
        <v>32</v>
      </c>
      <c r="C6" s="9" t="s">
        <v>33</v>
      </c>
      <c r="D6" s="9"/>
      <c r="E6" s="9"/>
    </row>
    <row r="7" spans="2:5" ht="30" customHeight="1" x14ac:dyDescent="0.3">
      <c r="B7" s="26" t="s">
        <v>34</v>
      </c>
      <c r="C7" s="9" t="s">
        <v>35</v>
      </c>
      <c r="D7" s="9"/>
      <c r="E7" s="9"/>
    </row>
    <row r="8" spans="2:5" ht="30" customHeight="1" x14ac:dyDescent="0.3">
      <c r="B8" s="27" t="s">
        <v>36</v>
      </c>
      <c r="C8" s="9" t="s">
        <v>37</v>
      </c>
      <c r="D8" s="9"/>
      <c r="E8" s="9"/>
    </row>
    <row r="9" spans="2:5" ht="30" customHeight="1" x14ac:dyDescent="0.3">
      <c r="B9" s="28" t="s">
        <v>38</v>
      </c>
      <c r="C9" s="9" t="s">
        <v>39</v>
      </c>
      <c r="D9" s="9"/>
      <c r="E9" s="9"/>
    </row>
    <row r="11" spans="2:5" ht="15.75" customHeight="1" x14ac:dyDescent="0.35">
      <c r="B11" s="17" t="s">
        <v>40</v>
      </c>
    </row>
    <row r="12" spans="2:5" ht="109.5" customHeight="1" x14ac:dyDescent="0.3">
      <c r="B12" s="8" t="s">
        <v>41</v>
      </c>
      <c r="C12" s="8"/>
      <c r="D12" s="8"/>
      <c r="E12" s="8"/>
    </row>
    <row r="13" spans="2:5" ht="15" customHeight="1" x14ac:dyDescent="0.3">
      <c r="B13" s="8"/>
      <c r="C13" s="8"/>
      <c r="D13" s="8"/>
      <c r="E13" s="8"/>
    </row>
    <row r="14" spans="2:5" ht="15" customHeight="1" x14ac:dyDescent="0.3">
      <c r="B14" s="8"/>
      <c r="C14" s="8"/>
      <c r="D14" s="8"/>
      <c r="E14" s="8"/>
    </row>
    <row r="15" spans="2:5" ht="15" customHeight="1" x14ac:dyDescent="0.3">
      <c r="B15" s="8"/>
      <c r="C15" s="8"/>
      <c r="D15" s="8"/>
      <c r="E15" s="8"/>
    </row>
    <row r="16" spans="2:5" ht="15" customHeight="1" x14ac:dyDescent="0.3">
      <c r="B16" s="8"/>
      <c r="C16" s="8"/>
      <c r="D16" s="8"/>
      <c r="E16" s="8"/>
    </row>
    <row r="17" spans="2:5" ht="15" customHeight="1" x14ac:dyDescent="0.3">
      <c r="B17" s="8"/>
      <c r="C17" s="8"/>
      <c r="D17" s="8"/>
      <c r="E17" s="8"/>
    </row>
    <row r="18" spans="2:5" ht="15" customHeight="1" x14ac:dyDescent="0.3">
      <c r="B18" s="8"/>
      <c r="C18" s="8"/>
      <c r="D18" s="8"/>
      <c r="E18" s="8"/>
    </row>
    <row r="20" spans="2:5" ht="15.75" customHeight="1" x14ac:dyDescent="0.35">
      <c r="B20" s="17" t="s">
        <v>42</v>
      </c>
    </row>
    <row r="21" spans="2:5" ht="21.75" customHeight="1" x14ac:dyDescent="0.3">
      <c r="B21" s="29" t="s">
        <v>43</v>
      </c>
      <c r="C21" s="29" t="s">
        <v>44</v>
      </c>
      <c r="D21" s="7" t="s">
        <v>45</v>
      </c>
      <c r="E21" s="7"/>
    </row>
    <row r="22" spans="2:5" ht="169.5" customHeight="1" x14ac:dyDescent="0.3">
      <c r="B22" s="19" t="s">
        <v>46</v>
      </c>
      <c r="C22" s="30" t="s">
        <v>47</v>
      </c>
      <c r="D22" s="6" t="s">
        <v>48</v>
      </c>
      <c r="E22" s="6"/>
    </row>
    <row r="24" spans="2:5" ht="15.75" customHeight="1" x14ac:dyDescent="0.35">
      <c r="B24" s="17" t="s">
        <v>49</v>
      </c>
    </row>
    <row r="25" spans="2:5" ht="15" customHeight="1" x14ac:dyDescent="0.3">
      <c r="B25" s="29" t="s">
        <v>50</v>
      </c>
      <c r="C25" s="7" t="s">
        <v>51</v>
      </c>
      <c r="D25" s="7"/>
      <c r="E25" s="7"/>
    </row>
    <row r="26" spans="2:5" ht="21.75" customHeight="1" x14ac:dyDescent="0.3">
      <c r="B26" s="31" t="s">
        <v>52</v>
      </c>
      <c r="C26" s="5" t="s">
        <v>53</v>
      </c>
      <c r="D26" s="5"/>
      <c r="E26" s="5"/>
    </row>
    <row r="27" spans="2:5" ht="21.75" customHeight="1" x14ac:dyDescent="0.3">
      <c r="B27" s="31" t="s">
        <v>52</v>
      </c>
      <c r="C27" s="5" t="s">
        <v>54</v>
      </c>
      <c r="D27" s="5"/>
      <c r="E27" s="5"/>
    </row>
    <row r="28" spans="2:5" ht="21.75" customHeight="1" x14ac:dyDescent="0.3">
      <c r="B28" s="31" t="s">
        <v>52</v>
      </c>
      <c r="C28" s="5" t="s">
        <v>55</v>
      </c>
      <c r="D28" s="5"/>
      <c r="E28" s="5"/>
    </row>
    <row r="29" spans="2:5" ht="21.75" customHeight="1" x14ac:dyDescent="0.3">
      <c r="B29" s="31" t="s">
        <v>52</v>
      </c>
      <c r="C29" s="5" t="s">
        <v>56</v>
      </c>
      <c r="D29" s="5"/>
      <c r="E29" s="5"/>
    </row>
    <row r="30" spans="2:5" ht="21.75" customHeight="1" x14ac:dyDescent="0.3">
      <c r="B30" s="31" t="s">
        <v>52</v>
      </c>
      <c r="C30" s="5" t="s">
        <v>57</v>
      </c>
      <c r="D30" s="5"/>
      <c r="E30" s="5"/>
    </row>
    <row r="31" spans="2:5" ht="21.75" customHeight="1" x14ac:dyDescent="0.3">
      <c r="B31" s="31" t="s">
        <v>52</v>
      </c>
      <c r="C31" s="5" t="s">
        <v>58</v>
      </c>
      <c r="D31" s="5"/>
      <c r="E31" s="5"/>
    </row>
    <row r="32" spans="2:5" ht="21.75" customHeight="1" x14ac:dyDescent="0.3">
      <c r="B32" s="31" t="s">
        <v>52</v>
      </c>
      <c r="C32" s="5" t="s">
        <v>59</v>
      </c>
      <c r="D32" s="5"/>
      <c r="E32" s="5"/>
    </row>
    <row r="33" spans="2:5" ht="21.75" customHeight="1" x14ac:dyDescent="0.3">
      <c r="B33" s="31" t="s">
        <v>52</v>
      </c>
      <c r="C33" s="5" t="s">
        <v>60</v>
      </c>
      <c r="D33" s="5"/>
      <c r="E33" s="5"/>
    </row>
    <row r="34" spans="2:5" ht="21.75" customHeight="1" x14ac:dyDescent="0.3">
      <c r="B34" s="31" t="s">
        <v>52</v>
      </c>
      <c r="C34" s="5" t="s">
        <v>61</v>
      </c>
      <c r="D34" s="5"/>
      <c r="E34" s="5"/>
    </row>
    <row r="35" spans="2:5" ht="21.75" customHeight="1" x14ac:dyDescent="0.3">
      <c r="B35" s="31" t="s">
        <v>52</v>
      </c>
      <c r="C35" s="5" t="s">
        <v>62</v>
      </c>
      <c r="D35" s="5"/>
      <c r="E35" s="5"/>
    </row>
  </sheetData>
  <mergeCells count="20">
    <mergeCell ref="C31:E31"/>
    <mergeCell ref="C32:E32"/>
    <mergeCell ref="C33:E33"/>
    <mergeCell ref="C34:E34"/>
    <mergeCell ref="C35:E35"/>
    <mergeCell ref="C26:E26"/>
    <mergeCell ref="C27:E27"/>
    <mergeCell ref="C28:E28"/>
    <mergeCell ref="C29:E29"/>
    <mergeCell ref="C30:E30"/>
    <mergeCell ref="C9:E9"/>
    <mergeCell ref="B12:E18"/>
    <mergeCell ref="D21:E21"/>
    <mergeCell ref="D22:E22"/>
    <mergeCell ref="C25:E25"/>
    <mergeCell ref="B2:E2"/>
    <mergeCell ref="B3:E3"/>
    <mergeCell ref="C6:E6"/>
    <mergeCell ref="C7:E7"/>
    <mergeCell ref="C8:E8"/>
  </mergeCells>
  <dataValidations count="1">
    <dataValidation type="list" allowBlank="1" sqref="B26:B35" xr:uid="{00000000-0002-0000-0100-000000000000}">
      <formula1>"☐,☑"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41"/>
  <sheetViews>
    <sheetView showGridLines="0" zoomScaleNormal="100" workbookViewId="0">
      <pane xSplit="1" ySplit="11" topLeftCell="B13" activePane="bottomRight" state="frozen"/>
      <selection pane="topRight" activeCell="B1" sqref="B1"/>
      <selection pane="bottomLeft" activeCell="A12" sqref="A12"/>
      <selection pane="bottomRight" activeCell="I18" sqref="I18"/>
    </sheetView>
  </sheetViews>
  <sheetFormatPr baseColWidth="10" defaultColWidth="8.6640625" defaultRowHeight="14.4" x14ac:dyDescent="0.3"/>
  <cols>
    <col min="1" max="1" width="3" customWidth="1"/>
    <col min="2" max="2" width="10" customWidth="1"/>
    <col min="3" max="3" width="40" customWidth="1"/>
    <col min="4" max="4" width="14" customWidth="1"/>
    <col min="5" max="5" width="16" customWidth="1"/>
    <col min="6" max="7" width="14" customWidth="1"/>
    <col min="8" max="8" width="18" customWidth="1"/>
    <col min="9" max="9" width="30" customWidth="1"/>
  </cols>
  <sheetData>
    <row r="2" spans="2:9" ht="33.75" customHeight="1" x14ac:dyDescent="0.3">
      <c r="B2" s="11" t="s">
        <v>63</v>
      </c>
      <c r="C2" s="11"/>
      <c r="D2" s="11"/>
      <c r="E2" s="11"/>
      <c r="F2" s="11"/>
      <c r="G2" s="11"/>
      <c r="H2" s="11"/>
      <c r="I2" s="11"/>
    </row>
    <row r="4" spans="2:9" ht="15.75" customHeight="1" x14ac:dyDescent="0.35">
      <c r="B4" s="17" t="s">
        <v>64</v>
      </c>
    </row>
    <row r="5" spans="2:9" ht="19.5" customHeight="1" x14ac:dyDescent="0.3">
      <c r="B5" s="4" t="s">
        <v>65</v>
      </c>
      <c r="C5" s="4"/>
      <c r="D5" s="3" t="s">
        <v>66</v>
      </c>
      <c r="E5" s="3"/>
      <c r="F5" s="2" t="s">
        <v>67</v>
      </c>
      <c r="G5" s="2"/>
      <c r="H5" s="1" t="s">
        <v>68</v>
      </c>
      <c r="I5" s="1"/>
    </row>
    <row r="6" spans="2:9" ht="39.75" customHeight="1" x14ac:dyDescent="0.3">
      <c r="B6" s="40">
        <f>COUNTA(C12:C41)</f>
        <v>12</v>
      </c>
      <c r="C6" s="40"/>
      <c r="D6" s="41">
        <f>COUNTIF(H12:H41,"Aprobada")</f>
        <v>1</v>
      </c>
      <c r="E6" s="41"/>
      <c r="F6" s="42">
        <f>COUNTIF(H12:H41,"Aprobada con observaciones")</f>
        <v>7</v>
      </c>
      <c r="G6" s="42"/>
      <c r="H6" s="43">
        <f>COUNTIF(H12:H41,"Rechazada")</f>
        <v>4</v>
      </c>
      <c r="I6" s="43"/>
    </row>
    <row r="8" spans="2:9" ht="15" customHeight="1" x14ac:dyDescent="0.3">
      <c r="B8" s="33" t="s">
        <v>69</v>
      </c>
      <c r="E8" s="34">
        <f>IF(B6=0,0,D6/B6)</f>
        <v>8.3333333333333329E-2</v>
      </c>
    </row>
    <row r="11" spans="2:9" ht="30" customHeight="1" x14ac:dyDescent="0.3">
      <c r="B11" s="29" t="s">
        <v>70</v>
      </c>
      <c r="C11" s="29" t="s">
        <v>71</v>
      </c>
      <c r="D11" s="29" t="s">
        <v>72</v>
      </c>
      <c r="E11" s="29" t="s">
        <v>73</v>
      </c>
      <c r="F11" s="29" t="s">
        <v>74</v>
      </c>
      <c r="G11" s="29" t="s">
        <v>75</v>
      </c>
      <c r="H11" s="29" t="s">
        <v>76</v>
      </c>
      <c r="I11" s="29" t="s">
        <v>77</v>
      </c>
    </row>
    <row r="12" spans="2:9" ht="30" customHeight="1" x14ac:dyDescent="0.3">
      <c r="B12" s="35" t="s">
        <v>78</v>
      </c>
      <c r="C12" s="32" t="s">
        <v>79</v>
      </c>
      <c r="D12" s="35" t="s">
        <v>80</v>
      </c>
      <c r="E12" s="35">
        <v>0</v>
      </c>
      <c r="F12" s="35" t="s">
        <v>81</v>
      </c>
      <c r="G12" s="35">
        <v>2</v>
      </c>
      <c r="H12" s="35" t="s">
        <v>82</v>
      </c>
      <c r="I12" s="32" t="s">
        <v>83</v>
      </c>
    </row>
    <row r="13" spans="2:9" ht="30" customHeight="1" x14ac:dyDescent="0.3">
      <c r="B13" s="35" t="s">
        <v>84</v>
      </c>
      <c r="C13" s="32" t="s">
        <v>85</v>
      </c>
      <c r="D13" s="35" t="s">
        <v>80</v>
      </c>
      <c r="E13" s="35">
        <v>0</v>
      </c>
      <c r="F13" s="35" t="s">
        <v>81</v>
      </c>
      <c r="G13" s="35">
        <v>2</v>
      </c>
      <c r="H13" s="35" t="s">
        <v>82</v>
      </c>
      <c r="I13" s="32" t="s">
        <v>86</v>
      </c>
    </row>
    <row r="14" spans="2:9" ht="47.4" customHeight="1" x14ac:dyDescent="0.3">
      <c r="B14" s="35" t="s">
        <v>87</v>
      </c>
      <c r="C14" s="32" t="s">
        <v>88</v>
      </c>
      <c r="D14" s="35" t="s">
        <v>80</v>
      </c>
      <c r="E14" s="35">
        <v>1</v>
      </c>
      <c r="F14" s="35" t="s">
        <v>81</v>
      </c>
      <c r="G14" s="35">
        <v>1</v>
      </c>
      <c r="H14" s="35" t="s">
        <v>89</v>
      </c>
      <c r="I14" s="32" t="s">
        <v>90</v>
      </c>
    </row>
    <row r="15" spans="2:9" ht="30" customHeight="1" x14ac:dyDescent="0.3">
      <c r="B15" s="35" t="s">
        <v>91</v>
      </c>
      <c r="C15" s="32" t="s">
        <v>92</v>
      </c>
      <c r="D15" s="35" t="s">
        <v>80</v>
      </c>
      <c r="E15" s="35">
        <v>0</v>
      </c>
      <c r="F15" s="35" t="s">
        <v>81</v>
      </c>
      <c r="G15" s="35">
        <v>1</v>
      </c>
      <c r="H15" s="35" t="s">
        <v>82</v>
      </c>
      <c r="I15" s="32" t="s">
        <v>93</v>
      </c>
    </row>
    <row r="16" spans="2:9" ht="30" customHeight="1" x14ac:dyDescent="0.3">
      <c r="B16" s="35" t="s">
        <v>94</v>
      </c>
      <c r="C16" s="32" t="s">
        <v>95</v>
      </c>
      <c r="D16" s="35" t="s">
        <v>80</v>
      </c>
      <c r="E16" s="35">
        <v>0</v>
      </c>
      <c r="F16" s="35" t="s">
        <v>81</v>
      </c>
      <c r="G16" s="35">
        <v>1</v>
      </c>
      <c r="H16" s="35" t="s">
        <v>82</v>
      </c>
      <c r="I16" s="32" t="s">
        <v>96</v>
      </c>
    </row>
    <row r="17" spans="2:9" ht="30" customHeight="1" x14ac:dyDescent="0.3">
      <c r="B17" s="35" t="s">
        <v>97</v>
      </c>
      <c r="C17" s="32" t="s">
        <v>98</v>
      </c>
      <c r="D17" s="35" t="s">
        <v>80</v>
      </c>
      <c r="E17" s="35">
        <v>0</v>
      </c>
      <c r="F17" s="35" t="s">
        <v>81</v>
      </c>
      <c r="G17" s="35">
        <v>1</v>
      </c>
      <c r="H17" s="35" t="s">
        <v>82</v>
      </c>
      <c r="I17" s="32" t="s">
        <v>99</v>
      </c>
    </row>
    <row r="18" spans="2:9" ht="30" customHeight="1" x14ac:dyDescent="0.3">
      <c r="B18" s="35" t="s">
        <v>100</v>
      </c>
      <c r="C18" s="32" t="s">
        <v>101</v>
      </c>
      <c r="D18" s="35" t="s">
        <v>102</v>
      </c>
      <c r="E18" s="35">
        <v>1</v>
      </c>
      <c r="F18" s="35" t="s">
        <v>81</v>
      </c>
      <c r="G18" s="35">
        <v>1</v>
      </c>
      <c r="H18" s="35" t="s">
        <v>89</v>
      </c>
      <c r="I18" s="32" t="s">
        <v>103</v>
      </c>
    </row>
    <row r="19" spans="2:9" ht="30" customHeight="1" x14ac:dyDescent="0.3">
      <c r="B19" s="35" t="s">
        <v>104</v>
      </c>
      <c r="C19" s="32" t="s">
        <v>105</v>
      </c>
      <c r="D19" s="35" t="s">
        <v>80</v>
      </c>
      <c r="E19" s="35">
        <v>0</v>
      </c>
      <c r="F19" s="35" t="s">
        <v>81</v>
      </c>
      <c r="G19" s="35">
        <v>1</v>
      </c>
      <c r="H19" s="35" t="s">
        <v>82</v>
      </c>
      <c r="I19" s="32" t="s">
        <v>106</v>
      </c>
    </row>
    <row r="20" spans="2:9" ht="30" customHeight="1" x14ac:dyDescent="0.3">
      <c r="B20" s="35" t="s">
        <v>107</v>
      </c>
      <c r="C20" s="32" t="s">
        <v>108</v>
      </c>
      <c r="D20" s="35" t="s">
        <v>102</v>
      </c>
      <c r="E20" s="35">
        <v>1</v>
      </c>
      <c r="F20" s="35" t="s">
        <v>81</v>
      </c>
      <c r="G20" s="35">
        <v>1</v>
      </c>
      <c r="H20" s="35" t="s">
        <v>89</v>
      </c>
      <c r="I20" s="32" t="s">
        <v>109</v>
      </c>
    </row>
    <row r="21" spans="2:9" ht="30" customHeight="1" x14ac:dyDescent="0.3">
      <c r="B21" s="35" t="s">
        <v>110</v>
      </c>
      <c r="C21" s="32" t="s">
        <v>111</v>
      </c>
      <c r="D21" s="35" t="s">
        <v>80</v>
      </c>
      <c r="E21" s="35">
        <v>1</v>
      </c>
      <c r="F21" s="35" t="s">
        <v>81</v>
      </c>
      <c r="G21" s="35">
        <v>1</v>
      </c>
      <c r="H21" s="35" t="s">
        <v>89</v>
      </c>
      <c r="I21" s="32" t="s">
        <v>112</v>
      </c>
    </row>
    <row r="22" spans="2:9" ht="30" customHeight="1" x14ac:dyDescent="0.3">
      <c r="B22" s="35" t="s">
        <v>113</v>
      </c>
      <c r="C22" s="32" t="s">
        <v>114</v>
      </c>
      <c r="D22" s="35" t="s">
        <v>102</v>
      </c>
      <c r="E22" s="35">
        <v>0</v>
      </c>
      <c r="F22" s="35" t="s">
        <v>81</v>
      </c>
      <c r="G22" s="35">
        <v>1</v>
      </c>
      <c r="H22" s="35" t="s">
        <v>115</v>
      </c>
      <c r="I22" s="32" t="s">
        <v>116</v>
      </c>
    </row>
    <row r="23" spans="2:9" ht="30" customHeight="1" x14ac:dyDescent="0.3">
      <c r="B23" s="35" t="s">
        <v>117</v>
      </c>
      <c r="C23" s="32" t="s">
        <v>118</v>
      </c>
      <c r="D23" s="35" t="s">
        <v>102</v>
      </c>
      <c r="E23" s="35">
        <v>0</v>
      </c>
      <c r="F23" s="35" t="s">
        <v>81</v>
      </c>
      <c r="G23" s="35">
        <v>1</v>
      </c>
      <c r="H23" s="35" t="s">
        <v>82</v>
      </c>
      <c r="I23" s="32" t="s">
        <v>119</v>
      </c>
    </row>
    <row r="24" spans="2:9" ht="30" customHeight="1" x14ac:dyDescent="0.3">
      <c r="B24" s="35"/>
      <c r="C24" s="32"/>
      <c r="D24" s="35"/>
      <c r="E24" s="35"/>
      <c r="F24" s="35"/>
      <c r="G24" s="35"/>
      <c r="H24" s="35"/>
      <c r="I24" s="32"/>
    </row>
    <row r="25" spans="2:9" ht="30" customHeight="1" x14ac:dyDescent="0.3">
      <c r="B25" s="35"/>
      <c r="C25" s="32"/>
      <c r="D25" s="35"/>
      <c r="E25" s="35"/>
      <c r="F25" s="35"/>
      <c r="G25" s="35"/>
      <c r="H25" s="35"/>
      <c r="I25" s="32"/>
    </row>
    <row r="26" spans="2:9" ht="30" customHeight="1" x14ac:dyDescent="0.3">
      <c r="B26" s="35"/>
      <c r="C26" s="32"/>
      <c r="D26" s="35"/>
      <c r="E26" s="35"/>
      <c r="F26" s="35"/>
      <c r="G26" s="35"/>
      <c r="H26" s="35"/>
      <c r="I26" s="32"/>
    </row>
    <row r="27" spans="2:9" ht="30" customHeight="1" x14ac:dyDescent="0.3">
      <c r="B27" s="35"/>
      <c r="C27" s="32"/>
      <c r="D27" s="35"/>
      <c r="E27" s="35"/>
      <c r="F27" s="35"/>
      <c r="G27" s="35"/>
      <c r="H27" s="35"/>
      <c r="I27" s="32"/>
    </row>
    <row r="28" spans="2:9" ht="30" customHeight="1" x14ac:dyDescent="0.3">
      <c r="B28" s="35"/>
      <c r="C28" s="32"/>
      <c r="D28" s="35"/>
      <c r="E28" s="35"/>
      <c r="F28" s="35"/>
      <c r="G28" s="35"/>
      <c r="H28" s="35"/>
      <c r="I28" s="32"/>
    </row>
    <row r="29" spans="2:9" ht="30" customHeight="1" x14ac:dyDescent="0.3">
      <c r="B29" s="35"/>
      <c r="C29" s="32"/>
      <c r="D29" s="35"/>
      <c r="E29" s="35"/>
      <c r="F29" s="35"/>
      <c r="G29" s="35"/>
      <c r="H29" s="35"/>
      <c r="I29" s="32"/>
    </row>
    <row r="30" spans="2:9" ht="30" customHeight="1" x14ac:dyDescent="0.3">
      <c r="B30" s="35"/>
      <c r="C30" s="32"/>
      <c r="D30" s="35"/>
      <c r="E30" s="35"/>
      <c r="F30" s="35"/>
      <c r="G30" s="35"/>
      <c r="H30" s="35"/>
      <c r="I30" s="32"/>
    </row>
    <row r="31" spans="2:9" ht="30" customHeight="1" x14ac:dyDescent="0.3">
      <c r="B31" s="35"/>
      <c r="C31" s="32"/>
      <c r="D31" s="35"/>
      <c r="E31" s="35"/>
      <c r="F31" s="35"/>
      <c r="G31" s="35"/>
      <c r="H31" s="35"/>
      <c r="I31" s="32"/>
    </row>
    <row r="32" spans="2:9" ht="30" customHeight="1" x14ac:dyDescent="0.3">
      <c r="B32" s="35"/>
      <c r="C32" s="32"/>
      <c r="D32" s="35"/>
      <c r="E32" s="35"/>
      <c r="F32" s="35"/>
      <c r="G32" s="35"/>
      <c r="H32" s="35"/>
      <c r="I32" s="32"/>
    </row>
    <row r="33" spans="2:9" ht="30" customHeight="1" x14ac:dyDescent="0.3">
      <c r="B33" s="35"/>
      <c r="C33" s="32"/>
      <c r="D33" s="35"/>
      <c r="E33" s="35"/>
      <c r="F33" s="35"/>
      <c r="G33" s="35"/>
      <c r="H33" s="35"/>
      <c r="I33" s="32"/>
    </row>
    <row r="34" spans="2:9" ht="30" customHeight="1" x14ac:dyDescent="0.3">
      <c r="B34" s="35"/>
      <c r="C34" s="32"/>
      <c r="D34" s="35"/>
      <c r="E34" s="35"/>
      <c r="F34" s="35"/>
      <c r="G34" s="35"/>
      <c r="H34" s="35"/>
      <c r="I34" s="32"/>
    </row>
    <row r="35" spans="2:9" ht="30" customHeight="1" x14ac:dyDescent="0.3">
      <c r="B35" s="35"/>
      <c r="C35" s="32"/>
      <c r="D35" s="35"/>
      <c r="E35" s="35"/>
      <c r="F35" s="35"/>
      <c r="G35" s="35"/>
      <c r="H35" s="35"/>
      <c r="I35" s="32"/>
    </row>
    <row r="36" spans="2:9" ht="30" customHeight="1" x14ac:dyDescent="0.3">
      <c r="B36" s="35"/>
      <c r="C36" s="32"/>
      <c r="D36" s="35"/>
      <c r="E36" s="35"/>
      <c r="F36" s="35"/>
      <c r="G36" s="35"/>
      <c r="H36" s="35"/>
      <c r="I36" s="32"/>
    </row>
    <row r="37" spans="2:9" ht="30" customHeight="1" x14ac:dyDescent="0.3">
      <c r="B37" s="35"/>
      <c r="C37" s="32"/>
      <c r="D37" s="35"/>
      <c r="E37" s="35"/>
      <c r="F37" s="35"/>
      <c r="G37" s="35"/>
      <c r="H37" s="35"/>
      <c r="I37" s="32"/>
    </row>
    <row r="38" spans="2:9" ht="30" customHeight="1" x14ac:dyDescent="0.3">
      <c r="B38" s="35"/>
      <c r="C38" s="32"/>
      <c r="D38" s="35"/>
      <c r="E38" s="35"/>
      <c r="F38" s="35"/>
      <c r="G38" s="35"/>
      <c r="H38" s="35"/>
      <c r="I38" s="32"/>
    </row>
    <row r="39" spans="2:9" ht="30" customHeight="1" x14ac:dyDescent="0.3">
      <c r="B39" s="35"/>
      <c r="C39" s="32"/>
      <c r="D39" s="35"/>
      <c r="E39" s="35"/>
      <c r="F39" s="35"/>
      <c r="G39" s="35"/>
      <c r="H39" s="35"/>
      <c r="I39" s="32"/>
    </row>
    <row r="40" spans="2:9" ht="30" customHeight="1" x14ac:dyDescent="0.3">
      <c r="B40" s="35"/>
      <c r="C40" s="32"/>
      <c r="D40" s="35"/>
      <c r="E40" s="35"/>
      <c r="F40" s="35"/>
      <c r="G40" s="35"/>
      <c r="H40" s="35"/>
      <c r="I40" s="32"/>
    </row>
    <row r="41" spans="2:9" ht="30" customHeight="1" x14ac:dyDescent="0.3">
      <c r="B41" s="35"/>
      <c r="C41" s="32"/>
      <c r="D41" s="35"/>
      <c r="E41" s="35"/>
      <c r="F41" s="35"/>
      <c r="G41" s="35"/>
      <c r="H41" s="35"/>
      <c r="I41" s="32"/>
    </row>
  </sheetData>
  <autoFilter ref="B11:I41" xr:uid="{00000000-0009-0000-0000-000002000000}"/>
  <mergeCells count="9">
    <mergeCell ref="B6:C6"/>
    <mergeCell ref="D6:E6"/>
    <mergeCell ref="F6:G6"/>
    <mergeCell ref="H6:I6"/>
    <mergeCell ref="B2:I2"/>
    <mergeCell ref="B5:C5"/>
    <mergeCell ref="D5:E5"/>
    <mergeCell ref="F5:G5"/>
    <mergeCell ref="H5:I5"/>
  </mergeCells>
  <dataValidations count="3">
    <dataValidation type="list" allowBlank="1" sqref="D12:D41" xr:uid="{00000000-0002-0000-0200-000000000000}">
      <formula1>"Alta,Media,Baja"</formula1>
      <formula2>0</formula2>
    </dataValidation>
    <dataValidation type="list" allowBlank="1" sqref="F12:F41" xr:uid="{00000000-0002-0000-0200-000001000000}">
      <formula1>"Sí,No"</formula1>
      <formula2>0</formula2>
    </dataValidation>
    <dataValidation type="list" allowBlank="1" sqref="H12:H41" xr:uid="{00000000-0002-0000-0200-000002000000}">
      <formula1>"Aprobada,Aprobada con observaciones,Rechazada"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37"/>
  <sheetViews>
    <sheetView tabSelected="1" topLeftCell="A2" zoomScale="141" zoomScaleNormal="100" workbookViewId="0">
      <selection activeCell="B4" sqref="B4:G4"/>
    </sheetView>
  </sheetViews>
  <sheetFormatPr baseColWidth="10" defaultColWidth="8.6640625" defaultRowHeight="14.4" x14ac:dyDescent="0.3"/>
  <cols>
    <col min="1" max="1" width="3" customWidth="1"/>
    <col min="2" max="2" width="6" customWidth="1"/>
    <col min="3" max="3" width="30" customWidth="1"/>
    <col min="4" max="4" width="50" customWidth="1"/>
    <col min="5" max="5" width="14" customWidth="1"/>
    <col min="6" max="6" width="30" customWidth="1"/>
    <col min="7" max="7" width="34" customWidth="1"/>
  </cols>
  <sheetData>
    <row r="2" spans="2:7" ht="33.75" customHeight="1" x14ac:dyDescent="0.3">
      <c r="B2" s="11" t="s">
        <v>120</v>
      </c>
      <c r="C2" s="11"/>
      <c r="D2" s="11"/>
      <c r="E2" s="11"/>
      <c r="F2" s="11"/>
      <c r="G2" s="11"/>
    </row>
    <row r="3" spans="2:7" ht="15" customHeight="1" x14ac:dyDescent="0.3">
      <c r="B3" s="44" t="s">
        <v>78</v>
      </c>
      <c r="C3" s="44"/>
      <c r="D3" s="36"/>
      <c r="E3" s="44" t="s">
        <v>121</v>
      </c>
      <c r="F3" s="44"/>
      <c r="G3" s="36"/>
    </row>
    <row r="4" spans="2:7" ht="15" customHeight="1" x14ac:dyDescent="0.3">
      <c r="B4" s="44" t="s">
        <v>79</v>
      </c>
      <c r="C4" s="44"/>
      <c r="D4" s="44"/>
      <c r="E4" s="44"/>
      <c r="F4" s="44"/>
      <c r="G4" s="44"/>
    </row>
    <row r="5" spans="2:7" ht="30" customHeight="1" x14ac:dyDescent="0.3">
      <c r="B5" s="45"/>
      <c r="C5" s="45"/>
      <c r="D5" s="45"/>
      <c r="E5" s="45"/>
      <c r="F5" s="45"/>
      <c r="G5" s="45"/>
    </row>
    <row r="7" spans="2:7" ht="24" customHeight="1" x14ac:dyDescent="0.3">
      <c r="B7" s="29" t="s">
        <v>122</v>
      </c>
      <c r="C7" s="29" t="s">
        <v>123</v>
      </c>
      <c r="D7" s="29" t="s">
        <v>124</v>
      </c>
      <c r="E7" s="29" t="s">
        <v>125</v>
      </c>
      <c r="F7" s="29" t="s">
        <v>126</v>
      </c>
      <c r="G7" s="29" t="s">
        <v>127</v>
      </c>
    </row>
    <row r="8" spans="2:7" ht="21.75" customHeight="1" x14ac:dyDescent="0.3">
      <c r="B8" s="46" t="s">
        <v>128</v>
      </c>
      <c r="C8" s="46"/>
      <c r="D8" s="46"/>
      <c r="E8" s="46"/>
      <c r="F8" s="46"/>
      <c r="G8" s="46"/>
    </row>
    <row r="9" spans="2:7" ht="33.75" customHeight="1" x14ac:dyDescent="0.3">
      <c r="B9" s="35">
        <v>1</v>
      </c>
      <c r="C9" s="37" t="s">
        <v>129</v>
      </c>
      <c r="D9" s="32" t="s">
        <v>130</v>
      </c>
      <c r="E9" s="35" t="s">
        <v>21</v>
      </c>
      <c r="F9" s="32"/>
      <c r="G9" s="32"/>
    </row>
    <row r="10" spans="2:7" ht="33.75" customHeight="1" x14ac:dyDescent="0.3">
      <c r="B10" s="35">
        <v>2</v>
      </c>
      <c r="C10" s="37" t="s">
        <v>131</v>
      </c>
      <c r="D10" s="32" t="s">
        <v>132</v>
      </c>
      <c r="E10" s="35" t="s">
        <v>21</v>
      </c>
      <c r="F10" s="32"/>
      <c r="G10" s="32"/>
    </row>
    <row r="11" spans="2:7" ht="33.75" customHeight="1" x14ac:dyDescent="0.3">
      <c r="B11" s="35">
        <v>3</v>
      </c>
      <c r="C11" s="37" t="s">
        <v>133</v>
      </c>
      <c r="D11" s="32" t="s">
        <v>134</v>
      </c>
      <c r="E11" s="35" t="s">
        <v>21</v>
      </c>
      <c r="F11" s="32"/>
      <c r="G11" s="32"/>
    </row>
    <row r="12" spans="2:7" ht="33.75" customHeight="1" x14ac:dyDescent="0.3">
      <c r="B12" s="35">
        <v>4</v>
      </c>
      <c r="C12" s="37" t="s">
        <v>135</v>
      </c>
      <c r="D12" s="32" t="s">
        <v>136</v>
      </c>
      <c r="E12" s="35" t="s">
        <v>21</v>
      </c>
      <c r="F12" s="32"/>
      <c r="G12" s="32"/>
    </row>
    <row r="13" spans="2:7" ht="33.75" customHeight="1" x14ac:dyDescent="0.3">
      <c r="B13" s="35">
        <v>5</v>
      </c>
      <c r="C13" s="37" t="s">
        <v>137</v>
      </c>
      <c r="D13" s="32" t="s">
        <v>138</v>
      </c>
      <c r="E13" s="35" t="s">
        <v>21</v>
      </c>
      <c r="F13" s="32"/>
      <c r="G13" s="32"/>
    </row>
    <row r="14" spans="2:7" ht="21.75" customHeight="1" x14ac:dyDescent="0.3">
      <c r="B14" s="47" t="s">
        <v>139</v>
      </c>
      <c r="C14" s="47"/>
      <c r="D14" s="47"/>
      <c r="E14" s="47"/>
      <c r="F14" s="47"/>
      <c r="G14" s="47"/>
    </row>
    <row r="15" spans="2:7" ht="33.75" customHeight="1" x14ac:dyDescent="0.3">
      <c r="B15" s="35">
        <v>6</v>
      </c>
      <c r="C15" s="37" t="s">
        <v>140</v>
      </c>
      <c r="D15" s="32" t="s">
        <v>141</v>
      </c>
      <c r="E15" s="35" t="s">
        <v>21</v>
      </c>
      <c r="F15" s="32"/>
      <c r="G15" s="32"/>
    </row>
    <row r="16" spans="2:7" ht="33.75" customHeight="1" x14ac:dyDescent="0.3">
      <c r="B16" s="35">
        <v>7</v>
      </c>
      <c r="C16" s="37" t="s">
        <v>142</v>
      </c>
      <c r="D16" s="32" t="s">
        <v>143</v>
      </c>
      <c r="E16" s="35" t="s">
        <v>21</v>
      </c>
      <c r="F16" s="32"/>
      <c r="G16" s="32"/>
    </row>
    <row r="17" spans="2:7" ht="33.75" customHeight="1" x14ac:dyDescent="0.3">
      <c r="B17" s="35">
        <v>8</v>
      </c>
      <c r="C17" s="37" t="s">
        <v>144</v>
      </c>
      <c r="D17" s="32" t="s">
        <v>145</v>
      </c>
      <c r="E17" s="35" t="s">
        <v>21</v>
      </c>
      <c r="F17" s="32"/>
      <c r="G17" s="32"/>
    </row>
    <row r="18" spans="2:7" ht="68.400000000000006" customHeight="1" x14ac:dyDescent="0.3">
      <c r="B18" s="35">
        <v>9</v>
      </c>
      <c r="C18" s="37" t="s">
        <v>146</v>
      </c>
      <c r="D18" s="32" t="s">
        <v>147</v>
      </c>
      <c r="E18" s="35" t="s">
        <v>25</v>
      </c>
      <c r="F18" s="32" t="s">
        <v>148</v>
      </c>
      <c r="G18" s="32" t="s">
        <v>149</v>
      </c>
    </row>
    <row r="19" spans="2:7" ht="33.75" customHeight="1" x14ac:dyDescent="0.3">
      <c r="B19" s="35">
        <v>10</v>
      </c>
      <c r="C19" s="37" t="s">
        <v>150</v>
      </c>
      <c r="D19" s="32" t="s">
        <v>151</v>
      </c>
      <c r="E19" s="35" t="s">
        <v>21</v>
      </c>
      <c r="F19" s="32"/>
      <c r="G19" s="32"/>
    </row>
    <row r="20" spans="2:7" ht="33.75" customHeight="1" x14ac:dyDescent="0.3">
      <c r="B20" s="35">
        <v>11</v>
      </c>
      <c r="C20" s="37" t="s">
        <v>152</v>
      </c>
      <c r="D20" s="32" t="s">
        <v>153</v>
      </c>
      <c r="E20" s="35" t="s">
        <v>21</v>
      </c>
      <c r="F20" s="32"/>
      <c r="G20" s="32"/>
    </row>
    <row r="21" spans="2:7" ht="21.75" customHeight="1" x14ac:dyDescent="0.3">
      <c r="B21" s="48" t="s">
        <v>154</v>
      </c>
      <c r="C21" s="48"/>
      <c r="D21" s="48"/>
      <c r="E21" s="48"/>
      <c r="F21" s="48"/>
      <c r="G21" s="48"/>
    </row>
    <row r="22" spans="2:7" ht="33.75" customHeight="1" x14ac:dyDescent="0.3">
      <c r="B22" s="35">
        <v>12</v>
      </c>
      <c r="C22" s="37" t="s">
        <v>155</v>
      </c>
      <c r="D22" s="32" t="s">
        <v>156</v>
      </c>
      <c r="E22" s="35" t="s">
        <v>21</v>
      </c>
      <c r="F22" s="32"/>
      <c r="G22" s="32"/>
    </row>
    <row r="23" spans="2:7" ht="33.75" customHeight="1" x14ac:dyDescent="0.3">
      <c r="B23" s="35">
        <v>13</v>
      </c>
      <c r="C23" s="37" t="s">
        <v>157</v>
      </c>
      <c r="D23" s="32" t="s">
        <v>158</v>
      </c>
      <c r="E23" s="35" t="s">
        <v>21</v>
      </c>
      <c r="F23" s="32"/>
      <c r="G23" s="32"/>
    </row>
    <row r="24" spans="2:7" ht="33.75" customHeight="1" x14ac:dyDescent="0.3">
      <c r="B24" s="35">
        <v>14</v>
      </c>
      <c r="C24" s="37" t="s">
        <v>159</v>
      </c>
      <c r="D24" s="32" t="s">
        <v>160</v>
      </c>
      <c r="E24" s="35" t="s">
        <v>21</v>
      </c>
      <c r="F24" s="32"/>
      <c r="G24" s="32"/>
    </row>
    <row r="25" spans="2:7" ht="33.75" customHeight="1" x14ac:dyDescent="0.3">
      <c r="B25" s="35">
        <v>15</v>
      </c>
      <c r="C25" s="37" t="s">
        <v>161</v>
      </c>
      <c r="D25" s="32" t="s">
        <v>162</v>
      </c>
      <c r="E25" s="35" t="s">
        <v>21</v>
      </c>
      <c r="F25" s="32"/>
      <c r="G25" s="32"/>
    </row>
    <row r="26" spans="2:7" ht="33.75" customHeight="1" x14ac:dyDescent="0.3">
      <c r="B26" s="35">
        <v>16</v>
      </c>
      <c r="C26" s="37" t="s">
        <v>163</v>
      </c>
      <c r="D26" s="32" t="s">
        <v>164</v>
      </c>
      <c r="E26" s="35" t="s">
        <v>21</v>
      </c>
      <c r="F26" s="32"/>
      <c r="G26" s="32"/>
    </row>
    <row r="27" spans="2:7" ht="21.75" customHeight="1" x14ac:dyDescent="0.3">
      <c r="B27" s="49" t="s">
        <v>165</v>
      </c>
      <c r="C27" s="49"/>
      <c r="D27" s="49"/>
      <c r="E27" s="49"/>
      <c r="F27" s="49"/>
      <c r="G27" s="49"/>
    </row>
    <row r="28" spans="2:7" ht="33.75" customHeight="1" x14ac:dyDescent="0.3">
      <c r="B28" s="35">
        <v>17</v>
      </c>
      <c r="C28" s="37" t="s">
        <v>166</v>
      </c>
      <c r="D28" s="32" t="s">
        <v>167</v>
      </c>
      <c r="E28" s="35" t="s">
        <v>21</v>
      </c>
      <c r="F28" s="32"/>
      <c r="G28" s="32"/>
    </row>
    <row r="29" spans="2:7" ht="33.75" customHeight="1" x14ac:dyDescent="0.3">
      <c r="B29" s="35">
        <v>18</v>
      </c>
      <c r="C29" s="37" t="s">
        <v>168</v>
      </c>
      <c r="D29" s="32" t="s">
        <v>169</v>
      </c>
      <c r="E29" s="35" t="s">
        <v>21</v>
      </c>
      <c r="F29" s="32"/>
      <c r="G29" s="32"/>
    </row>
    <row r="30" spans="2:7" ht="69.599999999999994" customHeight="1" x14ac:dyDescent="0.3">
      <c r="B30" s="35">
        <v>19</v>
      </c>
      <c r="C30" s="37" t="s">
        <v>170</v>
      </c>
      <c r="D30" s="32" t="s">
        <v>171</v>
      </c>
      <c r="E30" s="35" t="s">
        <v>25</v>
      </c>
      <c r="F30" s="32" t="s">
        <v>172</v>
      </c>
      <c r="G30" s="32" t="s">
        <v>173</v>
      </c>
    </row>
    <row r="31" spans="2:7" ht="33.75" customHeight="1" x14ac:dyDescent="0.3">
      <c r="B31" s="35">
        <v>20</v>
      </c>
      <c r="C31" s="37" t="s">
        <v>174</v>
      </c>
      <c r="D31" s="32" t="s">
        <v>175</v>
      </c>
      <c r="E31" s="35" t="s">
        <v>21</v>
      </c>
      <c r="F31" s="32"/>
      <c r="G31" s="32"/>
    </row>
    <row r="32" spans="2:7" ht="33.75" customHeight="1" x14ac:dyDescent="0.3">
      <c r="B32" s="35">
        <v>21</v>
      </c>
      <c r="C32" s="37" t="s">
        <v>176</v>
      </c>
      <c r="D32" s="32" t="s">
        <v>177</v>
      </c>
      <c r="E32" s="35" t="s">
        <v>21</v>
      </c>
      <c r="F32" s="32"/>
      <c r="G32" s="32"/>
    </row>
    <row r="33" spans="2:7" ht="33.75" customHeight="1" x14ac:dyDescent="0.3">
      <c r="B33" s="35">
        <v>22</v>
      </c>
      <c r="C33" s="37" t="s">
        <v>178</v>
      </c>
      <c r="D33" s="32" t="s">
        <v>179</v>
      </c>
      <c r="E33" s="35" t="s">
        <v>21</v>
      </c>
      <c r="F33" s="32"/>
      <c r="G33" s="32"/>
    </row>
    <row r="35" spans="2:7" ht="15" customHeight="1" x14ac:dyDescent="0.3">
      <c r="B35" s="44" t="s">
        <v>180</v>
      </c>
      <c r="C35" s="44"/>
      <c r="D35" s="38">
        <f>COUNTIF(E8:E33,"✗ No cumple")</f>
        <v>0</v>
      </c>
    </row>
    <row r="36" spans="2:7" ht="15" customHeight="1" x14ac:dyDescent="0.3">
      <c r="B36" s="44" t="s">
        <v>181</v>
      </c>
      <c r="C36" s="44"/>
      <c r="D36" s="39">
        <f>COUNTIF(E8:E33,"⚠ Revisar")</f>
        <v>2</v>
      </c>
    </row>
    <row r="37" spans="2:7" ht="24" customHeight="1" x14ac:dyDescent="0.3">
      <c r="B37" s="50" t="s">
        <v>182</v>
      </c>
      <c r="C37" s="50"/>
      <c r="D37" s="51" t="str">
        <f>IF(D35&gt;0,"RECHAZADA - corregir ambigüedades críticas",IF(D36&gt;0,"APROBADA CON OBSERVACIONES - aclarar pendientes","APROBADA - lista para BDD"))</f>
        <v>APROBADA CON OBSERVACIONES - aclarar pendientes</v>
      </c>
      <c r="E37" s="51"/>
      <c r="F37" s="51"/>
      <c r="G37" s="51"/>
    </row>
  </sheetData>
  <mergeCells count="13">
    <mergeCell ref="B36:C36"/>
    <mergeCell ref="B37:C37"/>
    <mergeCell ref="D37:G37"/>
    <mergeCell ref="B8:G8"/>
    <mergeCell ref="B14:G14"/>
    <mergeCell ref="B21:G21"/>
    <mergeCell ref="B27:G27"/>
    <mergeCell ref="B35:C35"/>
    <mergeCell ref="B2:G2"/>
    <mergeCell ref="B3:C3"/>
    <mergeCell ref="E3:F3"/>
    <mergeCell ref="B4:G4"/>
    <mergeCell ref="B5:G5"/>
  </mergeCells>
  <dataValidations count="1">
    <dataValidation type="list" allowBlank="1" sqref="E9:E13 E15:E20 E22:E26 E28:E33" xr:uid="{00000000-0002-0000-0300-000000000000}">
      <formula1>"✓ Cumple,✗ No cumple,⚠ Revisar,N/A"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37"/>
  <sheetViews>
    <sheetView topLeftCell="A17" zoomScaleNormal="100" workbookViewId="0">
      <selection activeCell="F24" sqref="F24"/>
    </sheetView>
  </sheetViews>
  <sheetFormatPr baseColWidth="10" defaultColWidth="8.6640625" defaultRowHeight="14.4" x14ac:dyDescent="0.3"/>
  <cols>
    <col min="1" max="1" width="3" customWidth="1"/>
    <col min="2" max="2" width="6" customWidth="1"/>
    <col min="3" max="3" width="30" customWidth="1"/>
    <col min="4" max="4" width="50" customWidth="1"/>
    <col min="5" max="5" width="14" customWidth="1"/>
    <col min="6" max="6" width="30" customWidth="1"/>
    <col min="7" max="7" width="34" customWidth="1"/>
  </cols>
  <sheetData>
    <row r="2" spans="2:7" ht="33.75" customHeight="1" x14ac:dyDescent="0.3">
      <c r="B2" s="11" t="s">
        <v>120</v>
      </c>
      <c r="C2" s="11"/>
      <c r="D2" s="11"/>
      <c r="E2" s="11"/>
      <c r="F2" s="11"/>
      <c r="G2" s="11"/>
    </row>
    <row r="3" spans="2:7" ht="15" customHeight="1" x14ac:dyDescent="0.3">
      <c r="B3" s="44" t="s">
        <v>84</v>
      </c>
      <c r="C3" s="44"/>
      <c r="D3" s="36"/>
      <c r="E3" s="44" t="s">
        <v>121</v>
      </c>
      <c r="F3" s="44"/>
      <c r="G3" s="36"/>
    </row>
    <row r="4" spans="2:7" ht="15" customHeight="1" x14ac:dyDescent="0.3">
      <c r="B4" s="44" t="s">
        <v>85</v>
      </c>
      <c r="C4" s="44"/>
      <c r="D4" s="44"/>
      <c r="E4" s="44"/>
      <c r="F4" s="44"/>
      <c r="G4" s="44"/>
    </row>
    <row r="5" spans="2:7" ht="30" customHeight="1" x14ac:dyDescent="0.3">
      <c r="B5" s="45"/>
      <c r="C5" s="45"/>
      <c r="D5" s="45"/>
      <c r="E5" s="45"/>
      <c r="F5" s="45"/>
      <c r="G5" s="45"/>
    </row>
    <row r="7" spans="2:7" ht="24" customHeight="1" x14ac:dyDescent="0.3">
      <c r="B7" s="29" t="s">
        <v>122</v>
      </c>
      <c r="C7" s="29" t="s">
        <v>123</v>
      </c>
      <c r="D7" s="29" t="s">
        <v>124</v>
      </c>
      <c r="E7" s="29" t="s">
        <v>125</v>
      </c>
      <c r="F7" s="29" t="s">
        <v>126</v>
      </c>
      <c r="G7" s="29" t="s">
        <v>127</v>
      </c>
    </row>
    <row r="8" spans="2:7" ht="21.75" customHeight="1" x14ac:dyDescent="0.3">
      <c r="B8" s="46" t="s">
        <v>128</v>
      </c>
      <c r="C8" s="46"/>
      <c r="D8" s="46"/>
      <c r="E8" s="46"/>
      <c r="F8" s="46"/>
      <c r="G8" s="46"/>
    </row>
    <row r="9" spans="2:7" ht="33.75" customHeight="1" x14ac:dyDescent="0.3">
      <c r="B9" s="35">
        <v>1</v>
      </c>
      <c r="C9" s="37" t="s">
        <v>129</v>
      </c>
      <c r="D9" s="32" t="s">
        <v>130</v>
      </c>
      <c r="E9" s="35" t="s">
        <v>21</v>
      </c>
      <c r="F9" s="32"/>
      <c r="G9" s="32"/>
    </row>
    <row r="10" spans="2:7" ht="33.75" customHeight="1" x14ac:dyDescent="0.3">
      <c r="B10" s="35">
        <v>2</v>
      </c>
      <c r="C10" s="37" t="s">
        <v>131</v>
      </c>
      <c r="D10" s="32" t="s">
        <v>132</v>
      </c>
      <c r="E10" s="35" t="s">
        <v>21</v>
      </c>
      <c r="F10" s="32"/>
      <c r="G10" s="32"/>
    </row>
    <row r="11" spans="2:7" ht="33.75" customHeight="1" x14ac:dyDescent="0.3">
      <c r="B11" s="35">
        <v>3</v>
      </c>
      <c r="C11" s="37" t="s">
        <v>133</v>
      </c>
      <c r="D11" s="32" t="s">
        <v>134</v>
      </c>
      <c r="E11" s="35" t="s">
        <v>21</v>
      </c>
      <c r="F11" s="32"/>
      <c r="G11" s="32"/>
    </row>
    <row r="12" spans="2:7" ht="33.75" customHeight="1" x14ac:dyDescent="0.3">
      <c r="B12" s="35">
        <v>4</v>
      </c>
      <c r="C12" s="37" t="s">
        <v>135</v>
      </c>
      <c r="D12" s="32" t="s">
        <v>136</v>
      </c>
      <c r="E12" s="35" t="s">
        <v>21</v>
      </c>
      <c r="F12" s="32"/>
      <c r="G12" s="32"/>
    </row>
    <row r="13" spans="2:7" ht="33.75" customHeight="1" x14ac:dyDescent="0.3">
      <c r="B13" s="35">
        <v>5</v>
      </c>
      <c r="C13" s="37" t="s">
        <v>137</v>
      </c>
      <c r="D13" s="32" t="s">
        <v>138</v>
      </c>
      <c r="E13" s="35" t="s">
        <v>21</v>
      </c>
      <c r="F13" s="32"/>
      <c r="G13" s="32"/>
    </row>
    <row r="14" spans="2:7" ht="21.75" customHeight="1" x14ac:dyDescent="0.3">
      <c r="B14" s="47" t="s">
        <v>139</v>
      </c>
      <c r="C14" s="47"/>
      <c r="D14" s="47"/>
      <c r="E14" s="47"/>
      <c r="F14" s="47"/>
      <c r="G14" s="47"/>
    </row>
    <row r="15" spans="2:7" ht="33.75" customHeight="1" x14ac:dyDescent="0.3">
      <c r="B15" s="35">
        <v>6</v>
      </c>
      <c r="C15" s="37" t="s">
        <v>140</v>
      </c>
      <c r="D15" s="32" t="s">
        <v>141</v>
      </c>
      <c r="E15" s="35" t="s">
        <v>21</v>
      </c>
      <c r="F15" s="32"/>
      <c r="G15" s="32"/>
    </row>
    <row r="16" spans="2:7" ht="33.75" customHeight="1" x14ac:dyDescent="0.3">
      <c r="B16" s="35">
        <v>7</v>
      </c>
      <c r="C16" s="37" t="s">
        <v>142</v>
      </c>
      <c r="D16" s="32" t="s">
        <v>143</v>
      </c>
      <c r="E16" s="35" t="s">
        <v>21</v>
      </c>
      <c r="F16" s="32"/>
      <c r="G16" s="32"/>
    </row>
    <row r="17" spans="2:7" ht="33.75" customHeight="1" x14ac:dyDescent="0.3">
      <c r="B17" s="35">
        <v>8</v>
      </c>
      <c r="C17" s="37" t="s">
        <v>144</v>
      </c>
      <c r="D17" s="32" t="s">
        <v>145</v>
      </c>
      <c r="E17" s="35" t="s">
        <v>21</v>
      </c>
      <c r="F17" s="32"/>
      <c r="G17" s="32"/>
    </row>
    <row r="18" spans="2:7" ht="33.75" customHeight="1" x14ac:dyDescent="0.3">
      <c r="B18" s="35">
        <v>9</v>
      </c>
      <c r="C18" s="37" t="s">
        <v>146</v>
      </c>
      <c r="D18" s="32" t="s">
        <v>147</v>
      </c>
      <c r="E18" s="35" t="s">
        <v>21</v>
      </c>
      <c r="F18" s="32"/>
      <c r="G18" s="32"/>
    </row>
    <row r="19" spans="2:7" ht="33.75" customHeight="1" x14ac:dyDescent="0.3">
      <c r="B19" s="35">
        <v>10</v>
      </c>
      <c r="C19" s="37" t="s">
        <v>150</v>
      </c>
      <c r="D19" s="32" t="s">
        <v>151</v>
      </c>
      <c r="E19" s="35" t="s">
        <v>21</v>
      </c>
      <c r="F19" s="32"/>
      <c r="G19" s="32"/>
    </row>
    <row r="20" spans="2:7" ht="33.75" customHeight="1" x14ac:dyDescent="0.3">
      <c r="B20" s="35">
        <v>11</v>
      </c>
      <c r="C20" s="37" t="s">
        <v>152</v>
      </c>
      <c r="D20" s="32" t="s">
        <v>153</v>
      </c>
      <c r="E20" s="35" t="s">
        <v>21</v>
      </c>
      <c r="F20" s="32"/>
      <c r="G20" s="32"/>
    </row>
    <row r="21" spans="2:7" ht="21.75" customHeight="1" x14ac:dyDescent="0.3">
      <c r="B21" s="48" t="s">
        <v>154</v>
      </c>
      <c r="C21" s="48"/>
      <c r="D21" s="48"/>
      <c r="E21" s="48"/>
      <c r="F21" s="48"/>
      <c r="G21" s="48"/>
    </row>
    <row r="22" spans="2:7" ht="33.75" customHeight="1" x14ac:dyDescent="0.3">
      <c r="B22" s="35">
        <v>12</v>
      </c>
      <c r="C22" s="37" t="s">
        <v>155</v>
      </c>
      <c r="D22" s="32" t="s">
        <v>156</v>
      </c>
      <c r="E22" s="35" t="s">
        <v>21</v>
      </c>
      <c r="F22" s="32"/>
      <c r="G22" s="32"/>
    </row>
    <row r="23" spans="2:7" ht="33.75" customHeight="1" x14ac:dyDescent="0.3">
      <c r="B23" s="35">
        <v>13</v>
      </c>
      <c r="C23" s="37" t="s">
        <v>157</v>
      </c>
      <c r="D23" s="32" t="s">
        <v>158</v>
      </c>
      <c r="E23" s="35" t="s">
        <v>21</v>
      </c>
      <c r="F23" s="32"/>
      <c r="G23" s="32"/>
    </row>
    <row r="24" spans="2:7" ht="58.8" customHeight="1" x14ac:dyDescent="0.3">
      <c r="B24" s="35">
        <v>14</v>
      </c>
      <c r="C24" s="37" t="s">
        <v>159</v>
      </c>
      <c r="D24" s="32" t="s">
        <v>160</v>
      </c>
      <c r="E24" s="35" t="s">
        <v>25</v>
      </c>
      <c r="F24" s="32" t="s">
        <v>86</v>
      </c>
      <c r="G24" s="32" t="s">
        <v>183</v>
      </c>
    </row>
    <row r="25" spans="2:7" ht="33.75" customHeight="1" x14ac:dyDescent="0.3">
      <c r="B25" s="35">
        <v>15</v>
      </c>
      <c r="C25" s="37" t="s">
        <v>161</v>
      </c>
      <c r="D25" s="32" t="s">
        <v>162</v>
      </c>
      <c r="E25" s="35" t="s">
        <v>21</v>
      </c>
      <c r="F25" s="32"/>
      <c r="G25" s="32"/>
    </row>
    <row r="26" spans="2:7" ht="33.75" customHeight="1" x14ac:dyDescent="0.3">
      <c r="B26" s="35">
        <v>16</v>
      </c>
      <c r="C26" s="37" t="s">
        <v>163</v>
      </c>
      <c r="D26" s="32" t="s">
        <v>164</v>
      </c>
      <c r="E26" s="35" t="s">
        <v>21</v>
      </c>
      <c r="F26" s="32"/>
      <c r="G26" s="32"/>
    </row>
    <row r="27" spans="2:7" ht="21.75" customHeight="1" x14ac:dyDescent="0.3">
      <c r="B27" s="49" t="s">
        <v>165</v>
      </c>
      <c r="C27" s="49"/>
      <c r="D27" s="49"/>
      <c r="E27" s="49"/>
      <c r="F27" s="49"/>
      <c r="G27" s="49"/>
    </row>
    <row r="28" spans="2:7" ht="33.75" customHeight="1" x14ac:dyDescent="0.3">
      <c r="B28" s="35">
        <v>17</v>
      </c>
      <c r="C28" s="37" t="s">
        <v>166</v>
      </c>
      <c r="D28" s="32" t="s">
        <v>167</v>
      </c>
      <c r="E28" s="35" t="s">
        <v>21</v>
      </c>
      <c r="F28" s="32"/>
      <c r="G28" s="32"/>
    </row>
    <row r="29" spans="2:7" ht="33.75" customHeight="1" x14ac:dyDescent="0.3">
      <c r="B29" s="35">
        <v>18</v>
      </c>
      <c r="C29" s="37" t="s">
        <v>168</v>
      </c>
      <c r="D29" s="32" t="s">
        <v>169</v>
      </c>
      <c r="E29" s="35" t="s">
        <v>21</v>
      </c>
      <c r="F29" s="32"/>
      <c r="G29" s="32"/>
    </row>
    <row r="30" spans="2:7" ht="33.75" customHeight="1" x14ac:dyDescent="0.3">
      <c r="B30" s="35">
        <v>19</v>
      </c>
      <c r="C30" s="37" t="s">
        <v>170</v>
      </c>
      <c r="D30" s="32" t="s">
        <v>171</v>
      </c>
      <c r="E30" s="35" t="s">
        <v>21</v>
      </c>
      <c r="F30" s="32"/>
      <c r="G30" s="32"/>
    </row>
    <row r="31" spans="2:7" ht="33.75" customHeight="1" x14ac:dyDescent="0.3">
      <c r="B31" s="35">
        <v>20</v>
      </c>
      <c r="C31" s="37" t="s">
        <v>174</v>
      </c>
      <c r="D31" s="32" t="s">
        <v>175</v>
      </c>
      <c r="E31" s="35" t="s">
        <v>21</v>
      </c>
      <c r="F31" s="32"/>
      <c r="G31" s="32"/>
    </row>
    <row r="32" spans="2:7" ht="33.75" customHeight="1" x14ac:dyDescent="0.3">
      <c r="B32" s="35">
        <v>21</v>
      </c>
      <c r="C32" s="37" t="s">
        <v>176</v>
      </c>
      <c r="D32" s="32" t="s">
        <v>177</v>
      </c>
      <c r="E32" s="35" t="s">
        <v>21</v>
      </c>
      <c r="F32" s="32"/>
      <c r="G32" s="32"/>
    </row>
    <row r="33" spans="2:7" ht="33.75" customHeight="1" x14ac:dyDescent="0.3">
      <c r="B33" s="35">
        <v>22</v>
      </c>
      <c r="C33" s="37" t="s">
        <v>178</v>
      </c>
      <c r="D33" s="32" t="s">
        <v>179</v>
      </c>
      <c r="E33" s="35" t="s">
        <v>21</v>
      </c>
      <c r="F33" s="32"/>
      <c r="G33" s="32"/>
    </row>
    <row r="35" spans="2:7" ht="15" customHeight="1" x14ac:dyDescent="0.3">
      <c r="B35" s="44" t="s">
        <v>180</v>
      </c>
      <c r="C35" s="44"/>
      <c r="D35" s="38">
        <f>COUNTIF(E8:E33,"✗ No cumple")</f>
        <v>0</v>
      </c>
    </row>
    <row r="36" spans="2:7" ht="15" customHeight="1" x14ac:dyDescent="0.3">
      <c r="B36" s="44" t="s">
        <v>181</v>
      </c>
      <c r="C36" s="44"/>
      <c r="D36" s="39">
        <f>COUNTIF(E8:E33,"⚠ Revisar")</f>
        <v>1</v>
      </c>
    </row>
    <row r="37" spans="2:7" ht="24" customHeight="1" x14ac:dyDescent="0.3">
      <c r="B37" s="50" t="s">
        <v>182</v>
      </c>
      <c r="C37" s="50"/>
      <c r="D37" s="51" t="str">
        <f>IF(D35&gt;0,"RECHAZADA - corregir ambigüedades críticas",IF(D36&gt;0,"APROBADA CON OBSERVACIONES - aclarar pendientes","APROBADA - lista para BDD"))</f>
        <v>APROBADA CON OBSERVACIONES - aclarar pendientes</v>
      </c>
      <c r="E37" s="51"/>
      <c r="F37" s="51"/>
      <c r="G37" s="51"/>
    </row>
  </sheetData>
  <mergeCells count="13">
    <mergeCell ref="B36:C36"/>
    <mergeCell ref="B37:C37"/>
    <mergeCell ref="D37:G37"/>
    <mergeCell ref="B8:G8"/>
    <mergeCell ref="B14:G14"/>
    <mergeCell ref="B21:G21"/>
    <mergeCell ref="B27:G27"/>
    <mergeCell ref="B35:C35"/>
    <mergeCell ref="B2:G2"/>
    <mergeCell ref="B3:C3"/>
    <mergeCell ref="E3:F3"/>
    <mergeCell ref="B4:G4"/>
    <mergeCell ref="B5:G5"/>
  </mergeCells>
  <dataValidations count="1">
    <dataValidation type="list" allowBlank="1" sqref="E9:E13 E15:E20 E22:E26 E28:E33" xr:uid="{00000000-0002-0000-0400-000000000000}">
      <formula1>"✓ Cumple,✗ No cumple,⚠ Revisar,N/A"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G37"/>
  <sheetViews>
    <sheetView topLeftCell="A4" zoomScaleNormal="100" workbookViewId="0">
      <selection activeCell="H4" sqref="H4"/>
    </sheetView>
  </sheetViews>
  <sheetFormatPr baseColWidth="10" defaultColWidth="8.6640625" defaultRowHeight="14.4" x14ac:dyDescent="0.3"/>
  <cols>
    <col min="1" max="1" width="3" customWidth="1"/>
    <col min="2" max="2" width="6" customWidth="1"/>
    <col min="3" max="3" width="30" customWidth="1"/>
    <col min="4" max="4" width="50" customWidth="1"/>
    <col min="5" max="5" width="14" customWidth="1"/>
    <col min="6" max="6" width="30" customWidth="1"/>
    <col min="7" max="7" width="34" customWidth="1"/>
  </cols>
  <sheetData>
    <row r="2" spans="2:7" ht="33.75" customHeight="1" x14ac:dyDescent="0.3">
      <c r="B2" s="11" t="s">
        <v>120</v>
      </c>
      <c r="C2" s="11"/>
      <c r="D2" s="11"/>
      <c r="E2" s="11"/>
      <c r="F2" s="11"/>
      <c r="G2" s="11"/>
    </row>
    <row r="3" spans="2:7" ht="15" customHeight="1" x14ac:dyDescent="0.3">
      <c r="B3" s="44" t="s">
        <v>87</v>
      </c>
      <c r="C3" s="44"/>
      <c r="D3" s="36"/>
      <c r="E3" s="44" t="s">
        <v>121</v>
      </c>
      <c r="F3" s="44"/>
      <c r="G3" s="36"/>
    </row>
    <row r="4" spans="2:7" ht="15" customHeight="1" x14ac:dyDescent="0.3">
      <c r="B4" s="44" t="s">
        <v>88</v>
      </c>
      <c r="C4" s="44"/>
      <c r="D4" s="44"/>
      <c r="E4" s="44"/>
      <c r="F4" s="44"/>
      <c r="G4" s="44"/>
    </row>
    <row r="5" spans="2:7" ht="30" customHeight="1" x14ac:dyDescent="0.3">
      <c r="B5" s="45"/>
      <c r="C5" s="45"/>
      <c r="D5" s="45"/>
      <c r="E5" s="45"/>
      <c r="F5" s="45"/>
      <c r="G5" s="45"/>
    </row>
    <row r="7" spans="2:7" ht="24" customHeight="1" x14ac:dyDescent="0.3">
      <c r="B7" s="29" t="s">
        <v>122</v>
      </c>
      <c r="C7" s="29" t="s">
        <v>123</v>
      </c>
      <c r="D7" s="29" t="s">
        <v>124</v>
      </c>
      <c r="E7" s="29" t="s">
        <v>125</v>
      </c>
      <c r="F7" s="29" t="s">
        <v>126</v>
      </c>
      <c r="G7" s="29" t="s">
        <v>127</v>
      </c>
    </row>
    <row r="8" spans="2:7" ht="21.75" customHeight="1" x14ac:dyDescent="0.3">
      <c r="B8" s="46" t="s">
        <v>128</v>
      </c>
      <c r="C8" s="46"/>
      <c r="D8" s="46"/>
      <c r="E8" s="46"/>
      <c r="F8" s="46"/>
      <c r="G8" s="46"/>
    </row>
    <row r="9" spans="2:7" ht="88.2" customHeight="1" x14ac:dyDescent="0.3">
      <c r="B9" s="35">
        <v>1</v>
      </c>
      <c r="C9" s="37" t="s">
        <v>129</v>
      </c>
      <c r="D9" s="32" t="s">
        <v>130</v>
      </c>
      <c r="E9" s="35" t="s">
        <v>23</v>
      </c>
      <c r="F9" s="32" t="s">
        <v>90</v>
      </c>
      <c r="G9" s="32" t="s">
        <v>184</v>
      </c>
    </row>
    <row r="10" spans="2:7" ht="33.75" customHeight="1" x14ac:dyDescent="0.3">
      <c r="B10" s="35">
        <v>2</v>
      </c>
      <c r="C10" s="37" t="s">
        <v>131</v>
      </c>
      <c r="D10" s="32" t="s">
        <v>132</v>
      </c>
      <c r="E10" s="35" t="s">
        <v>21</v>
      </c>
      <c r="F10" s="32"/>
      <c r="G10" s="32"/>
    </row>
    <row r="11" spans="2:7" ht="33.75" customHeight="1" x14ac:dyDescent="0.3">
      <c r="B11" s="35">
        <v>3</v>
      </c>
      <c r="C11" s="37" t="s">
        <v>133</v>
      </c>
      <c r="D11" s="32" t="s">
        <v>134</v>
      </c>
      <c r="E11" s="35" t="s">
        <v>21</v>
      </c>
      <c r="F11" s="32"/>
      <c r="G11" s="32"/>
    </row>
    <row r="12" spans="2:7" ht="33.75" customHeight="1" x14ac:dyDescent="0.3">
      <c r="B12" s="35">
        <v>4</v>
      </c>
      <c r="C12" s="37" t="s">
        <v>135</v>
      </c>
      <c r="D12" s="32" t="s">
        <v>136</v>
      </c>
      <c r="E12" s="35" t="s">
        <v>21</v>
      </c>
      <c r="F12" s="32"/>
      <c r="G12" s="32"/>
    </row>
    <row r="13" spans="2:7" ht="33.75" customHeight="1" x14ac:dyDescent="0.3">
      <c r="B13" s="35">
        <v>5</v>
      </c>
      <c r="C13" s="37" t="s">
        <v>137</v>
      </c>
      <c r="D13" s="32" t="s">
        <v>138</v>
      </c>
      <c r="E13" s="35" t="s">
        <v>21</v>
      </c>
      <c r="F13" s="32"/>
      <c r="G13" s="32"/>
    </row>
    <row r="14" spans="2:7" ht="21.75" customHeight="1" x14ac:dyDescent="0.3">
      <c r="B14" s="47" t="s">
        <v>139</v>
      </c>
      <c r="C14" s="47"/>
      <c r="D14" s="47"/>
      <c r="E14" s="47"/>
      <c r="F14" s="47"/>
      <c r="G14" s="47"/>
    </row>
    <row r="15" spans="2:7" ht="33.75" customHeight="1" x14ac:dyDescent="0.3">
      <c r="B15" s="35">
        <v>6</v>
      </c>
      <c r="C15" s="37" t="s">
        <v>140</v>
      </c>
      <c r="D15" s="32" t="s">
        <v>141</v>
      </c>
      <c r="E15" s="35" t="s">
        <v>21</v>
      </c>
      <c r="F15" s="32"/>
      <c r="G15" s="32"/>
    </row>
    <row r="16" spans="2:7" ht="33.75" customHeight="1" x14ac:dyDescent="0.3">
      <c r="B16" s="35">
        <v>7</v>
      </c>
      <c r="C16" s="37" t="s">
        <v>142</v>
      </c>
      <c r="D16" s="32" t="s">
        <v>143</v>
      </c>
      <c r="E16" s="35" t="s">
        <v>21</v>
      </c>
      <c r="F16" s="32"/>
      <c r="G16" s="32"/>
    </row>
    <row r="17" spans="2:7" ht="33.75" customHeight="1" x14ac:dyDescent="0.3">
      <c r="B17" s="35">
        <v>8</v>
      </c>
      <c r="C17" s="37" t="s">
        <v>144</v>
      </c>
      <c r="D17" s="32" t="s">
        <v>145</v>
      </c>
      <c r="E17" s="35" t="s">
        <v>21</v>
      </c>
      <c r="F17" s="32"/>
      <c r="G17" s="32"/>
    </row>
    <row r="18" spans="2:7" ht="33.75" customHeight="1" x14ac:dyDescent="0.3">
      <c r="B18" s="35">
        <v>9</v>
      </c>
      <c r="C18" s="37" t="s">
        <v>146</v>
      </c>
      <c r="D18" s="32" t="s">
        <v>147</v>
      </c>
      <c r="E18" s="35" t="s">
        <v>21</v>
      </c>
      <c r="F18" s="32"/>
      <c r="G18" s="32"/>
    </row>
    <row r="19" spans="2:7" ht="33.75" customHeight="1" x14ac:dyDescent="0.3">
      <c r="B19" s="35">
        <v>10</v>
      </c>
      <c r="C19" s="37" t="s">
        <v>150</v>
      </c>
      <c r="D19" s="32" t="s">
        <v>151</v>
      </c>
      <c r="E19" s="35" t="s">
        <v>21</v>
      </c>
      <c r="F19" s="32"/>
      <c r="G19" s="32"/>
    </row>
    <row r="20" spans="2:7" ht="33.75" customHeight="1" x14ac:dyDescent="0.3">
      <c r="B20" s="35">
        <v>11</v>
      </c>
      <c r="C20" s="37" t="s">
        <v>152</v>
      </c>
      <c r="D20" s="32" t="s">
        <v>153</v>
      </c>
      <c r="E20" s="35" t="s">
        <v>21</v>
      </c>
      <c r="F20" s="32"/>
      <c r="G20" s="32"/>
    </row>
    <row r="21" spans="2:7" ht="21.75" customHeight="1" x14ac:dyDescent="0.3">
      <c r="B21" s="48" t="s">
        <v>154</v>
      </c>
      <c r="C21" s="48"/>
      <c r="D21" s="48"/>
      <c r="E21" s="48"/>
      <c r="F21" s="48"/>
      <c r="G21" s="48"/>
    </row>
    <row r="22" spans="2:7" ht="33.75" customHeight="1" x14ac:dyDescent="0.3">
      <c r="B22" s="35">
        <v>12</v>
      </c>
      <c r="C22" s="37" t="s">
        <v>155</v>
      </c>
      <c r="D22" s="32" t="s">
        <v>156</v>
      </c>
      <c r="E22" s="35" t="s">
        <v>21</v>
      </c>
      <c r="F22" s="32"/>
      <c r="G22" s="32"/>
    </row>
    <row r="23" spans="2:7" ht="33.75" customHeight="1" x14ac:dyDescent="0.3">
      <c r="B23" s="35">
        <v>13</v>
      </c>
      <c r="C23" s="37" t="s">
        <v>157</v>
      </c>
      <c r="D23" s="32" t="s">
        <v>158</v>
      </c>
      <c r="E23" s="35" t="s">
        <v>21</v>
      </c>
      <c r="F23" s="32"/>
      <c r="G23" s="32"/>
    </row>
    <row r="24" spans="2:7" ht="33.75" customHeight="1" x14ac:dyDescent="0.3">
      <c r="B24" s="35">
        <v>14</v>
      </c>
      <c r="C24" s="37" t="s">
        <v>159</v>
      </c>
      <c r="D24" s="32" t="s">
        <v>160</v>
      </c>
      <c r="E24" s="35" t="s">
        <v>21</v>
      </c>
      <c r="F24" s="32"/>
      <c r="G24" s="32"/>
    </row>
    <row r="25" spans="2:7" ht="33.75" customHeight="1" x14ac:dyDescent="0.3">
      <c r="B25" s="35">
        <v>15</v>
      </c>
      <c r="C25" s="37" t="s">
        <v>161</v>
      </c>
      <c r="D25" s="32" t="s">
        <v>162</v>
      </c>
      <c r="E25" s="35" t="s">
        <v>21</v>
      </c>
      <c r="F25" s="32"/>
      <c r="G25" s="32"/>
    </row>
    <row r="26" spans="2:7" ht="61.8" customHeight="1" x14ac:dyDescent="0.3">
      <c r="B26" s="35">
        <v>16</v>
      </c>
      <c r="C26" s="37" t="s">
        <v>163</v>
      </c>
      <c r="D26" s="32" t="s">
        <v>164</v>
      </c>
      <c r="E26" s="35" t="s">
        <v>25</v>
      </c>
      <c r="F26" s="32" t="s">
        <v>185</v>
      </c>
      <c r="G26" s="32" t="s">
        <v>186</v>
      </c>
    </row>
    <row r="27" spans="2:7" ht="21.75" customHeight="1" x14ac:dyDescent="0.3">
      <c r="B27" s="49" t="s">
        <v>165</v>
      </c>
      <c r="C27" s="49"/>
      <c r="D27" s="49"/>
      <c r="E27" s="49"/>
      <c r="F27" s="49"/>
      <c r="G27" s="49"/>
    </row>
    <row r="28" spans="2:7" ht="33.75" customHeight="1" x14ac:dyDescent="0.3">
      <c r="B28" s="35">
        <v>17</v>
      </c>
      <c r="C28" s="37" t="s">
        <v>166</v>
      </c>
      <c r="D28" s="32" t="s">
        <v>167</v>
      </c>
      <c r="E28" s="35" t="s">
        <v>21</v>
      </c>
      <c r="F28" s="32"/>
      <c r="G28" s="32"/>
    </row>
    <row r="29" spans="2:7" ht="33.75" customHeight="1" x14ac:dyDescent="0.3">
      <c r="B29" s="35">
        <v>18</v>
      </c>
      <c r="C29" s="37" t="s">
        <v>168</v>
      </c>
      <c r="D29" s="32" t="s">
        <v>169</v>
      </c>
      <c r="E29" s="35" t="s">
        <v>21</v>
      </c>
      <c r="F29" s="32"/>
      <c r="G29" s="32"/>
    </row>
    <row r="30" spans="2:7" ht="33.75" customHeight="1" x14ac:dyDescent="0.3">
      <c r="B30" s="35">
        <v>19</v>
      </c>
      <c r="C30" s="37" t="s">
        <v>170</v>
      </c>
      <c r="D30" s="32" t="s">
        <v>171</v>
      </c>
      <c r="E30" s="35" t="s">
        <v>21</v>
      </c>
      <c r="F30" s="32"/>
      <c r="G30" s="32"/>
    </row>
    <row r="31" spans="2:7" ht="33.75" customHeight="1" x14ac:dyDescent="0.3">
      <c r="B31" s="35">
        <v>20</v>
      </c>
      <c r="C31" s="37" t="s">
        <v>174</v>
      </c>
      <c r="D31" s="32" t="s">
        <v>175</v>
      </c>
      <c r="E31" s="35" t="s">
        <v>21</v>
      </c>
      <c r="F31" s="32"/>
      <c r="G31" s="32"/>
    </row>
    <row r="32" spans="2:7" ht="33.75" customHeight="1" x14ac:dyDescent="0.3">
      <c r="B32" s="35">
        <v>21</v>
      </c>
      <c r="C32" s="37" t="s">
        <v>176</v>
      </c>
      <c r="D32" s="32" t="s">
        <v>177</v>
      </c>
      <c r="E32" s="35" t="s">
        <v>21</v>
      </c>
      <c r="F32" s="32"/>
      <c r="G32" s="32"/>
    </row>
    <row r="33" spans="2:7" ht="33.75" customHeight="1" x14ac:dyDescent="0.3">
      <c r="B33" s="35">
        <v>22</v>
      </c>
      <c r="C33" s="37" t="s">
        <v>178</v>
      </c>
      <c r="D33" s="32" t="s">
        <v>179</v>
      </c>
      <c r="E33" s="35" t="s">
        <v>21</v>
      </c>
      <c r="F33" s="32"/>
      <c r="G33" s="32"/>
    </row>
    <row r="35" spans="2:7" ht="15" customHeight="1" x14ac:dyDescent="0.3">
      <c r="B35" s="44" t="s">
        <v>180</v>
      </c>
      <c r="C35" s="44"/>
      <c r="D35" s="38">
        <f>COUNTIF(E8:E33,"✗ No cumple")</f>
        <v>1</v>
      </c>
    </row>
    <row r="36" spans="2:7" ht="15" customHeight="1" x14ac:dyDescent="0.3">
      <c r="B36" s="44" t="s">
        <v>181</v>
      </c>
      <c r="C36" s="44"/>
      <c r="D36" s="39">
        <f>COUNTIF(E8:E33,"⚠ Revisar")</f>
        <v>1</v>
      </c>
    </row>
    <row r="37" spans="2:7" ht="24" customHeight="1" x14ac:dyDescent="0.3">
      <c r="B37" s="50" t="s">
        <v>182</v>
      </c>
      <c r="C37" s="50"/>
      <c r="D37" s="51" t="str">
        <f>IF(D35&gt;0,"RECHAZADA - corregir ambigüedades críticas",IF(D36&gt;0,"APROBADA CON OBSERVACIONES - aclarar pendientes","APROBADA - lista para BDD"))</f>
        <v>RECHAZADA - corregir ambigüedades críticas</v>
      </c>
      <c r="E37" s="51"/>
      <c r="F37" s="51"/>
      <c r="G37" s="51"/>
    </row>
  </sheetData>
  <mergeCells count="13">
    <mergeCell ref="B36:C36"/>
    <mergeCell ref="B37:C37"/>
    <mergeCell ref="D37:G37"/>
    <mergeCell ref="B8:G8"/>
    <mergeCell ref="B14:G14"/>
    <mergeCell ref="B21:G21"/>
    <mergeCell ref="B27:G27"/>
    <mergeCell ref="B35:C35"/>
    <mergeCell ref="B2:G2"/>
    <mergeCell ref="B3:C3"/>
    <mergeCell ref="E3:F3"/>
    <mergeCell ref="B4:G4"/>
    <mergeCell ref="B5:G5"/>
  </mergeCells>
  <dataValidations count="1">
    <dataValidation type="list" allowBlank="1" sqref="E9:E13 E15:E20 E22:E26 E28:E33" xr:uid="{00000000-0002-0000-0500-000000000000}">
      <formula1>"✓ Cumple,✗ No cumple,⚠ Revisar,N/A"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G37"/>
  <sheetViews>
    <sheetView zoomScaleNormal="100" workbookViewId="0"/>
  </sheetViews>
  <sheetFormatPr baseColWidth="10" defaultColWidth="8.6640625" defaultRowHeight="14.4" x14ac:dyDescent="0.3"/>
  <cols>
    <col min="1" max="1" width="3" customWidth="1"/>
    <col min="2" max="2" width="6" customWidth="1"/>
    <col min="3" max="3" width="30" customWidth="1"/>
    <col min="4" max="4" width="50" customWidth="1"/>
    <col min="5" max="5" width="14" customWidth="1"/>
    <col min="6" max="6" width="30" customWidth="1"/>
    <col min="7" max="7" width="34" customWidth="1"/>
  </cols>
  <sheetData>
    <row r="2" spans="2:7" ht="33.75" customHeight="1" x14ac:dyDescent="0.3">
      <c r="B2" s="11" t="s">
        <v>120</v>
      </c>
      <c r="C2" s="11"/>
      <c r="D2" s="11"/>
      <c r="E2" s="11"/>
      <c r="F2" s="11"/>
      <c r="G2" s="11"/>
    </row>
    <row r="3" spans="2:7" ht="15" customHeight="1" x14ac:dyDescent="0.3">
      <c r="B3" s="44" t="s">
        <v>91</v>
      </c>
      <c r="C3" s="44"/>
      <c r="D3" s="36"/>
      <c r="E3" s="44" t="s">
        <v>121</v>
      </c>
      <c r="F3" s="44"/>
      <c r="G3" s="36"/>
    </row>
    <row r="4" spans="2:7" ht="15" customHeight="1" x14ac:dyDescent="0.3">
      <c r="B4" s="44" t="s">
        <v>92</v>
      </c>
      <c r="C4" s="44"/>
      <c r="D4" s="44"/>
      <c r="E4" s="44"/>
      <c r="F4" s="44"/>
      <c r="G4" s="44"/>
    </row>
    <row r="5" spans="2:7" ht="30" customHeight="1" x14ac:dyDescent="0.3">
      <c r="B5" s="45"/>
      <c r="C5" s="45"/>
      <c r="D5" s="45"/>
      <c r="E5" s="45"/>
      <c r="F5" s="45"/>
      <c r="G5" s="45"/>
    </row>
    <row r="7" spans="2:7" ht="24" customHeight="1" x14ac:dyDescent="0.3">
      <c r="B7" s="29" t="s">
        <v>122</v>
      </c>
      <c r="C7" s="29" t="s">
        <v>123</v>
      </c>
      <c r="D7" s="29" t="s">
        <v>124</v>
      </c>
      <c r="E7" s="29" t="s">
        <v>125</v>
      </c>
      <c r="F7" s="29" t="s">
        <v>126</v>
      </c>
      <c r="G7" s="29" t="s">
        <v>127</v>
      </c>
    </row>
    <row r="8" spans="2:7" ht="21.75" customHeight="1" x14ac:dyDescent="0.3">
      <c r="B8" s="46" t="s">
        <v>128</v>
      </c>
      <c r="C8" s="46"/>
      <c r="D8" s="46"/>
      <c r="E8" s="46"/>
      <c r="F8" s="46"/>
      <c r="G8" s="46"/>
    </row>
    <row r="9" spans="2:7" ht="33.75" customHeight="1" x14ac:dyDescent="0.3">
      <c r="B9" s="35">
        <v>1</v>
      </c>
      <c r="C9" s="37" t="s">
        <v>129</v>
      </c>
      <c r="D9" s="32" t="s">
        <v>130</v>
      </c>
      <c r="E9" s="35" t="s">
        <v>21</v>
      </c>
      <c r="F9" s="32"/>
      <c r="G9" s="32"/>
    </row>
    <row r="10" spans="2:7" ht="33.75" customHeight="1" x14ac:dyDescent="0.3">
      <c r="B10" s="35">
        <v>2</v>
      </c>
      <c r="C10" s="37" t="s">
        <v>131</v>
      </c>
      <c r="D10" s="32" t="s">
        <v>132</v>
      </c>
      <c r="E10" s="35" t="s">
        <v>21</v>
      </c>
      <c r="F10" s="32"/>
      <c r="G10" s="32"/>
    </row>
    <row r="11" spans="2:7" ht="33.75" customHeight="1" x14ac:dyDescent="0.3">
      <c r="B11" s="35">
        <v>3</v>
      </c>
      <c r="C11" s="37" t="s">
        <v>133</v>
      </c>
      <c r="D11" s="32" t="s">
        <v>134</v>
      </c>
      <c r="E11" s="35" t="s">
        <v>21</v>
      </c>
      <c r="F11" s="32"/>
      <c r="G11" s="32"/>
    </row>
    <row r="12" spans="2:7" ht="33.75" customHeight="1" x14ac:dyDescent="0.3">
      <c r="B12" s="35">
        <v>4</v>
      </c>
      <c r="C12" s="37" t="s">
        <v>135</v>
      </c>
      <c r="D12" s="32" t="s">
        <v>136</v>
      </c>
      <c r="E12" s="35" t="s">
        <v>21</v>
      </c>
      <c r="F12" s="32"/>
      <c r="G12" s="32"/>
    </row>
    <row r="13" spans="2:7" ht="33.75" customHeight="1" x14ac:dyDescent="0.3">
      <c r="B13" s="35">
        <v>5</v>
      </c>
      <c r="C13" s="37" t="s">
        <v>137</v>
      </c>
      <c r="D13" s="32" t="s">
        <v>138</v>
      </c>
      <c r="E13" s="35" t="s">
        <v>21</v>
      </c>
      <c r="F13" s="32"/>
      <c r="G13" s="32"/>
    </row>
    <row r="14" spans="2:7" ht="21.75" customHeight="1" x14ac:dyDescent="0.3">
      <c r="B14" s="47" t="s">
        <v>139</v>
      </c>
      <c r="C14" s="47"/>
      <c r="D14" s="47"/>
      <c r="E14" s="47"/>
      <c r="F14" s="47"/>
      <c r="G14" s="47"/>
    </row>
    <row r="15" spans="2:7" ht="33.75" customHeight="1" x14ac:dyDescent="0.3">
      <c r="B15" s="35">
        <v>6</v>
      </c>
      <c r="C15" s="37" t="s">
        <v>140</v>
      </c>
      <c r="D15" s="32" t="s">
        <v>141</v>
      </c>
      <c r="E15" s="35" t="s">
        <v>21</v>
      </c>
      <c r="F15" s="32"/>
      <c r="G15" s="32"/>
    </row>
    <row r="16" spans="2:7" ht="33.75" customHeight="1" x14ac:dyDescent="0.3">
      <c r="B16" s="35">
        <v>7</v>
      </c>
      <c r="C16" s="37" t="s">
        <v>142</v>
      </c>
      <c r="D16" s="32" t="s">
        <v>143</v>
      </c>
      <c r="E16" s="35" t="s">
        <v>21</v>
      </c>
      <c r="F16" s="32"/>
      <c r="G16" s="32"/>
    </row>
    <row r="17" spans="2:7" ht="33.75" customHeight="1" x14ac:dyDescent="0.3">
      <c r="B17" s="35">
        <v>8</v>
      </c>
      <c r="C17" s="37" t="s">
        <v>144</v>
      </c>
      <c r="D17" s="32" t="s">
        <v>145</v>
      </c>
      <c r="E17" s="35" t="s">
        <v>21</v>
      </c>
      <c r="F17" s="32"/>
      <c r="G17" s="32"/>
    </row>
    <row r="18" spans="2:7" ht="33.75" customHeight="1" x14ac:dyDescent="0.3">
      <c r="B18" s="35">
        <v>9</v>
      </c>
      <c r="C18" s="37" t="s">
        <v>146</v>
      </c>
      <c r="D18" s="32" t="s">
        <v>147</v>
      </c>
      <c r="E18" s="35" t="s">
        <v>21</v>
      </c>
      <c r="F18" s="32"/>
      <c r="G18" s="32"/>
    </row>
    <row r="19" spans="2:7" ht="33.75" customHeight="1" x14ac:dyDescent="0.3">
      <c r="B19" s="35">
        <v>10</v>
      </c>
      <c r="C19" s="37" t="s">
        <v>150</v>
      </c>
      <c r="D19" s="32" t="s">
        <v>151</v>
      </c>
      <c r="E19" s="35" t="s">
        <v>21</v>
      </c>
      <c r="F19" s="32"/>
      <c r="G19" s="32"/>
    </row>
    <row r="20" spans="2:7" ht="33.75" customHeight="1" x14ac:dyDescent="0.3">
      <c r="B20" s="35">
        <v>11</v>
      </c>
      <c r="C20" s="37" t="s">
        <v>152</v>
      </c>
      <c r="D20" s="32" t="s">
        <v>153</v>
      </c>
      <c r="E20" s="35" t="s">
        <v>21</v>
      </c>
      <c r="F20" s="32"/>
      <c r="G20" s="32"/>
    </row>
    <row r="21" spans="2:7" ht="21.75" customHeight="1" x14ac:dyDescent="0.3">
      <c r="B21" s="48" t="s">
        <v>154</v>
      </c>
      <c r="C21" s="48"/>
      <c r="D21" s="48"/>
      <c r="E21" s="48"/>
      <c r="F21" s="48"/>
      <c r="G21" s="48"/>
    </row>
    <row r="22" spans="2:7" ht="33.75" customHeight="1" x14ac:dyDescent="0.3">
      <c r="B22" s="35">
        <v>12</v>
      </c>
      <c r="C22" s="37" t="s">
        <v>155</v>
      </c>
      <c r="D22" s="32" t="s">
        <v>156</v>
      </c>
      <c r="E22" s="35" t="s">
        <v>21</v>
      </c>
      <c r="F22" s="32"/>
      <c r="G22" s="32"/>
    </row>
    <row r="23" spans="2:7" ht="33.75" customHeight="1" x14ac:dyDescent="0.3">
      <c r="B23" s="35">
        <v>13</v>
      </c>
      <c r="C23" s="37" t="s">
        <v>157</v>
      </c>
      <c r="D23" s="32" t="s">
        <v>158</v>
      </c>
      <c r="E23" s="35" t="s">
        <v>21</v>
      </c>
      <c r="F23" s="32"/>
      <c r="G23" s="32"/>
    </row>
    <row r="24" spans="2:7" ht="33.75" customHeight="1" x14ac:dyDescent="0.3">
      <c r="B24" s="35">
        <v>14</v>
      </c>
      <c r="C24" s="37" t="s">
        <v>159</v>
      </c>
      <c r="D24" s="32" t="s">
        <v>160</v>
      </c>
      <c r="E24" s="35" t="s">
        <v>21</v>
      </c>
      <c r="F24" s="32"/>
      <c r="G24" s="32"/>
    </row>
    <row r="25" spans="2:7" ht="33.75" customHeight="1" x14ac:dyDescent="0.3">
      <c r="B25" s="35">
        <v>15</v>
      </c>
      <c r="C25" s="37" t="s">
        <v>161</v>
      </c>
      <c r="D25" s="32" t="s">
        <v>162</v>
      </c>
      <c r="E25" s="35" t="s">
        <v>21</v>
      </c>
      <c r="F25" s="32"/>
      <c r="G25" s="32"/>
    </row>
    <row r="26" spans="2:7" ht="33.75" customHeight="1" x14ac:dyDescent="0.3">
      <c r="B26" s="35">
        <v>16</v>
      </c>
      <c r="C26" s="37" t="s">
        <v>163</v>
      </c>
      <c r="D26" s="32" t="s">
        <v>164</v>
      </c>
      <c r="E26" s="35" t="s">
        <v>21</v>
      </c>
      <c r="F26" s="32"/>
      <c r="G26" s="32"/>
    </row>
    <row r="27" spans="2:7" ht="21.75" customHeight="1" x14ac:dyDescent="0.3">
      <c r="B27" s="49" t="s">
        <v>165</v>
      </c>
      <c r="C27" s="49"/>
      <c r="D27" s="49"/>
      <c r="E27" s="49"/>
      <c r="F27" s="49"/>
      <c r="G27" s="49"/>
    </row>
    <row r="28" spans="2:7" ht="33.75" customHeight="1" x14ac:dyDescent="0.3">
      <c r="B28" s="35">
        <v>17</v>
      </c>
      <c r="C28" s="37" t="s">
        <v>166</v>
      </c>
      <c r="D28" s="32" t="s">
        <v>167</v>
      </c>
      <c r="E28" s="35" t="s">
        <v>21</v>
      </c>
      <c r="F28" s="32"/>
      <c r="G28" s="32"/>
    </row>
    <row r="29" spans="2:7" ht="33.75" customHeight="1" x14ac:dyDescent="0.3">
      <c r="B29" s="35">
        <v>18</v>
      </c>
      <c r="C29" s="37" t="s">
        <v>168</v>
      </c>
      <c r="D29" s="32" t="s">
        <v>169</v>
      </c>
      <c r="E29" s="35" t="s">
        <v>21</v>
      </c>
      <c r="F29" s="32"/>
      <c r="G29" s="32"/>
    </row>
    <row r="30" spans="2:7" ht="33.75" customHeight="1" x14ac:dyDescent="0.3">
      <c r="B30" s="35">
        <v>19</v>
      </c>
      <c r="C30" s="37" t="s">
        <v>170</v>
      </c>
      <c r="D30" s="32" t="s">
        <v>171</v>
      </c>
      <c r="E30" s="35" t="s">
        <v>25</v>
      </c>
      <c r="F30" s="32" t="s">
        <v>93</v>
      </c>
      <c r="G30" s="32" t="s">
        <v>187</v>
      </c>
    </row>
    <row r="31" spans="2:7" ht="33.75" customHeight="1" x14ac:dyDescent="0.3">
      <c r="B31" s="35">
        <v>20</v>
      </c>
      <c r="C31" s="37" t="s">
        <v>174</v>
      </c>
      <c r="D31" s="32" t="s">
        <v>175</v>
      </c>
      <c r="E31" s="35" t="s">
        <v>21</v>
      </c>
      <c r="F31" s="32"/>
      <c r="G31" s="32"/>
    </row>
    <row r="32" spans="2:7" ht="33.75" customHeight="1" x14ac:dyDescent="0.3">
      <c r="B32" s="35">
        <v>21</v>
      </c>
      <c r="C32" s="37" t="s">
        <v>176</v>
      </c>
      <c r="D32" s="32" t="s">
        <v>177</v>
      </c>
      <c r="E32" s="35" t="s">
        <v>21</v>
      </c>
      <c r="F32" s="32"/>
      <c r="G32" s="32"/>
    </row>
    <row r="33" spans="2:7" ht="33.75" customHeight="1" x14ac:dyDescent="0.3">
      <c r="B33" s="35">
        <v>22</v>
      </c>
      <c r="C33" s="37" t="s">
        <v>178</v>
      </c>
      <c r="D33" s="32" t="s">
        <v>179</v>
      </c>
      <c r="E33" s="35" t="s">
        <v>21</v>
      </c>
      <c r="F33" s="32"/>
      <c r="G33" s="32"/>
    </row>
    <row r="35" spans="2:7" ht="15" customHeight="1" x14ac:dyDescent="0.3">
      <c r="B35" s="44" t="s">
        <v>180</v>
      </c>
      <c r="C35" s="44"/>
      <c r="D35" s="38">
        <f>COUNTIF(E8:E33,"✗ No cumple")</f>
        <v>0</v>
      </c>
    </row>
    <row r="36" spans="2:7" ht="15" customHeight="1" x14ac:dyDescent="0.3">
      <c r="B36" s="44" t="s">
        <v>181</v>
      </c>
      <c r="C36" s="44"/>
      <c r="D36" s="39">
        <f>COUNTIF(E8:E33,"⚠ Revisar")</f>
        <v>1</v>
      </c>
    </row>
    <row r="37" spans="2:7" ht="24" customHeight="1" x14ac:dyDescent="0.3">
      <c r="B37" s="50" t="s">
        <v>182</v>
      </c>
      <c r="C37" s="50"/>
      <c r="D37" s="51" t="str">
        <f>IF(D35&gt;0,"RECHAZADA - corregir ambigüedades críticas",IF(D36&gt;0,"APROBADA CON OBSERVACIONES - aclarar pendientes","APROBADA - lista para BDD"))</f>
        <v>APROBADA CON OBSERVACIONES - aclarar pendientes</v>
      </c>
      <c r="E37" s="51"/>
      <c r="F37" s="51"/>
      <c r="G37" s="51"/>
    </row>
  </sheetData>
  <mergeCells count="13">
    <mergeCell ref="B36:C36"/>
    <mergeCell ref="B37:C37"/>
    <mergeCell ref="D37:G37"/>
    <mergeCell ref="B8:G8"/>
    <mergeCell ref="B14:G14"/>
    <mergeCell ref="B21:G21"/>
    <mergeCell ref="B27:G27"/>
    <mergeCell ref="B35:C35"/>
    <mergeCell ref="B2:G2"/>
    <mergeCell ref="B3:C3"/>
    <mergeCell ref="E3:F3"/>
    <mergeCell ref="B4:G4"/>
    <mergeCell ref="B5:G5"/>
  </mergeCells>
  <dataValidations count="1">
    <dataValidation type="list" allowBlank="1" sqref="E9:E13 E15:E20 E22:E26 E28:E33" xr:uid="{00000000-0002-0000-0600-000000000000}">
      <formula1>"✓ Cumple,✗ No cumple,⚠ Revisar,N/A"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G37"/>
  <sheetViews>
    <sheetView topLeftCell="A22" zoomScaleNormal="100" workbookViewId="0"/>
  </sheetViews>
  <sheetFormatPr baseColWidth="10" defaultColWidth="8.6640625" defaultRowHeight="14.4" x14ac:dyDescent="0.3"/>
  <cols>
    <col min="1" max="1" width="3" customWidth="1"/>
    <col min="2" max="2" width="6" customWidth="1"/>
    <col min="3" max="3" width="30" customWidth="1"/>
    <col min="4" max="4" width="50" customWidth="1"/>
    <col min="5" max="5" width="14" customWidth="1"/>
    <col min="6" max="6" width="30" customWidth="1"/>
    <col min="7" max="7" width="34" customWidth="1"/>
  </cols>
  <sheetData>
    <row r="2" spans="2:7" ht="33.75" customHeight="1" x14ac:dyDescent="0.3">
      <c r="B2" s="11" t="s">
        <v>120</v>
      </c>
      <c r="C2" s="11"/>
      <c r="D2" s="11"/>
      <c r="E2" s="11"/>
      <c r="F2" s="11"/>
      <c r="G2" s="11"/>
    </row>
    <row r="3" spans="2:7" ht="15" customHeight="1" x14ac:dyDescent="0.3">
      <c r="B3" s="44" t="s">
        <v>94</v>
      </c>
      <c r="C3" s="44"/>
      <c r="D3" s="36"/>
      <c r="E3" s="44" t="s">
        <v>121</v>
      </c>
      <c r="F3" s="44"/>
      <c r="G3" s="36"/>
    </row>
    <row r="4" spans="2:7" ht="15" customHeight="1" x14ac:dyDescent="0.3">
      <c r="B4" s="44" t="s">
        <v>95</v>
      </c>
      <c r="C4" s="44"/>
      <c r="D4" s="44"/>
      <c r="E4" s="44"/>
      <c r="F4" s="44"/>
      <c r="G4" s="44"/>
    </row>
    <row r="5" spans="2:7" ht="30" customHeight="1" x14ac:dyDescent="0.3">
      <c r="B5" s="45"/>
      <c r="C5" s="45"/>
      <c r="D5" s="45"/>
      <c r="E5" s="45"/>
      <c r="F5" s="45"/>
      <c r="G5" s="45"/>
    </row>
    <row r="7" spans="2:7" ht="24" customHeight="1" x14ac:dyDescent="0.3">
      <c r="B7" s="29" t="s">
        <v>122</v>
      </c>
      <c r="C7" s="29" t="s">
        <v>123</v>
      </c>
      <c r="D7" s="29" t="s">
        <v>124</v>
      </c>
      <c r="E7" s="29" t="s">
        <v>125</v>
      </c>
      <c r="F7" s="29" t="s">
        <v>126</v>
      </c>
      <c r="G7" s="29" t="s">
        <v>127</v>
      </c>
    </row>
    <row r="8" spans="2:7" ht="21.75" customHeight="1" x14ac:dyDescent="0.3">
      <c r="B8" s="46" t="s">
        <v>128</v>
      </c>
      <c r="C8" s="46"/>
      <c r="D8" s="46"/>
      <c r="E8" s="46"/>
      <c r="F8" s="46"/>
      <c r="G8" s="46"/>
    </row>
    <row r="9" spans="2:7" ht="33.75" customHeight="1" x14ac:dyDescent="0.3">
      <c r="B9" s="35">
        <v>1</v>
      </c>
      <c r="C9" s="37" t="s">
        <v>129</v>
      </c>
      <c r="D9" s="32" t="s">
        <v>130</v>
      </c>
      <c r="E9" s="35" t="s">
        <v>21</v>
      </c>
      <c r="F9" s="32"/>
      <c r="G9" s="32"/>
    </row>
    <row r="10" spans="2:7" ht="33.75" customHeight="1" x14ac:dyDescent="0.3">
      <c r="B10" s="35">
        <v>2</v>
      </c>
      <c r="C10" s="37" t="s">
        <v>131</v>
      </c>
      <c r="D10" s="32" t="s">
        <v>132</v>
      </c>
      <c r="E10" s="35" t="s">
        <v>21</v>
      </c>
      <c r="F10" s="32"/>
      <c r="G10" s="32"/>
    </row>
    <row r="11" spans="2:7" ht="33.75" customHeight="1" x14ac:dyDescent="0.3">
      <c r="B11" s="35">
        <v>3</v>
      </c>
      <c r="C11" s="37" t="s">
        <v>133</v>
      </c>
      <c r="D11" s="32" t="s">
        <v>134</v>
      </c>
      <c r="E11" s="35" t="s">
        <v>21</v>
      </c>
      <c r="F11" s="32"/>
      <c r="G11" s="32"/>
    </row>
    <row r="12" spans="2:7" ht="33.75" customHeight="1" x14ac:dyDescent="0.3">
      <c r="B12" s="35">
        <v>4</v>
      </c>
      <c r="C12" s="37" t="s">
        <v>135</v>
      </c>
      <c r="D12" s="32" t="s">
        <v>136</v>
      </c>
      <c r="E12" s="35" t="s">
        <v>21</v>
      </c>
      <c r="F12" s="32"/>
      <c r="G12" s="32"/>
    </row>
    <row r="13" spans="2:7" ht="33.75" customHeight="1" x14ac:dyDescent="0.3">
      <c r="B13" s="35">
        <v>5</v>
      </c>
      <c r="C13" s="37" t="s">
        <v>137</v>
      </c>
      <c r="D13" s="32" t="s">
        <v>138</v>
      </c>
      <c r="E13" s="35" t="s">
        <v>21</v>
      </c>
      <c r="F13" s="32"/>
      <c r="G13" s="32"/>
    </row>
    <row r="14" spans="2:7" ht="21.75" customHeight="1" x14ac:dyDescent="0.3">
      <c r="B14" s="47" t="s">
        <v>139</v>
      </c>
      <c r="C14" s="47"/>
      <c r="D14" s="47"/>
      <c r="E14" s="47"/>
      <c r="F14" s="47"/>
      <c r="G14" s="47"/>
    </row>
    <row r="15" spans="2:7" ht="33.75" customHeight="1" x14ac:dyDescent="0.3">
      <c r="B15" s="35">
        <v>6</v>
      </c>
      <c r="C15" s="37" t="s">
        <v>140</v>
      </c>
      <c r="D15" s="32" t="s">
        <v>141</v>
      </c>
      <c r="E15" s="35" t="s">
        <v>25</v>
      </c>
      <c r="F15" s="32" t="s">
        <v>188</v>
      </c>
      <c r="G15" s="32" t="s">
        <v>189</v>
      </c>
    </row>
    <row r="16" spans="2:7" ht="33.75" customHeight="1" x14ac:dyDescent="0.3">
      <c r="B16" s="35">
        <v>7</v>
      </c>
      <c r="C16" s="37" t="s">
        <v>142</v>
      </c>
      <c r="D16" s="32" t="s">
        <v>143</v>
      </c>
      <c r="E16" s="35" t="s">
        <v>21</v>
      </c>
      <c r="F16" s="32"/>
      <c r="G16" s="32"/>
    </row>
    <row r="17" spans="2:7" ht="33.75" customHeight="1" x14ac:dyDescent="0.3">
      <c r="B17" s="35">
        <v>8</v>
      </c>
      <c r="C17" s="37" t="s">
        <v>144</v>
      </c>
      <c r="D17" s="32" t="s">
        <v>145</v>
      </c>
      <c r="E17" s="35" t="s">
        <v>21</v>
      </c>
      <c r="F17" s="32"/>
      <c r="G17" s="32"/>
    </row>
    <row r="18" spans="2:7" ht="33.75" customHeight="1" x14ac:dyDescent="0.3">
      <c r="B18" s="35">
        <v>9</v>
      </c>
      <c r="C18" s="37" t="s">
        <v>146</v>
      </c>
      <c r="D18" s="32" t="s">
        <v>147</v>
      </c>
      <c r="E18" s="35" t="s">
        <v>25</v>
      </c>
      <c r="F18" s="32" t="s">
        <v>190</v>
      </c>
      <c r="G18" s="32" t="s">
        <v>191</v>
      </c>
    </row>
    <row r="19" spans="2:7" ht="33.75" customHeight="1" x14ac:dyDescent="0.3">
      <c r="B19" s="35">
        <v>10</v>
      </c>
      <c r="C19" s="37" t="s">
        <v>150</v>
      </c>
      <c r="D19" s="32" t="s">
        <v>151</v>
      </c>
      <c r="E19" s="35" t="s">
        <v>21</v>
      </c>
      <c r="F19" s="32"/>
      <c r="G19" s="32"/>
    </row>
    <row r="20" spans="2:7" ht="33.75" customHeight="1" x14ac:dyDescent="0.3">
      <c r="B20" s="35">
        <v>11</v>
      </c>
      <c r="C20" s="37" t="s">
        <v>152</v>
      </c>
      <c r="D20" s="32" t="s">
        <v>153</v>
      </c>
      <c r="E20" s="35" t="s">
        <v>21</v>
      </c>
      <c r="F20" s="32"/>
      <c r="G20" s="32"/>
    </row>
    <row r="21" spans="2:7" ht="21.75" customHeight="1" x14ac:dyDescent="0.3">
      <c r="B21" s="48" t="s">
        <v>154</v>
      </c>
      <c r="C21" s="48"/>
      <c r="D21" s="48"/>
      <c r="E21" s="48"/>
      <c r="F21" s="48"/>
      <c r="G21" s="48"/>
    </row>
    <row r="22" spans="2:7" ht="33.75" customHeight="1" x14ac:dyDescent="0.3">
      <c r="B22" s="35">
        <v>12</v>
      </c>
      <c r="C22" s="37" t="s">
        <v>155</v>
      </c>
      <c r="D22" s="32" t="s">
        <v>156</v>
      </c>
      <c r="E22" s="35" t="s">
        <v>21</v>
      </c>
      <c r="F22" s="32"/>
      <c r="G22" s="32"/>
    </row>
    <row r="23" spans="2:7" ht="33.75" customHeight="1" x14ac:dyDescent="0.3">
      <c r="B23" s="35">
        <v>13</v>
      </c>
      <c r="C23" s="37" t="s">
        <v>157</v>
      </c>
      <c r="D23" s="32" t="s">
        <v>158</v>
      </c>
      <c r="E23" s="35" t="s">
        <v>21</v>
      </c>
      <c r="F23" s="32"/>
      <c r="G23" s="32"/>
    </row>
    <row r="24" spans="2:7" ht="33.75" customHeight="1" x14ac:dyDescent="0.3">
      <c r="B24" s="35">
        <v>14</v>
      </c>
      <c r="C24" s="37" t="s">
        <v>159</v>
      </c>
      <c r="D24" s="32" t="s">
        <v>160</v>
      </c>
      <c r="E24" s="35" t="s">
        <v>21</v>
      </c>
      <c r="F24" s="32"/>
      <c r="G24" s="32"/>
    </row>
    <row r="25" spans="2:7" ht="33.75" customHeight="1" x14ac:dyDescent="0.3">
      <c r="B25" s="35">
        <v>15</v>
      </c>
      <c r="C25" s="37" t="s">
        <v>161</v>
      </c>
      <c r="D25" s="32" t="s">
        <v>162</v>
      </c>
      <c r="E25" s="35" t="s">
        <v>21</v>
      </c>
      <c r="F25" s="32"/>
      <c r="G25" s="32"/>
    </row>
    <row r="26" spans="2:7" ht="33.75" customHeight="1" x14ac:dyDescent="0.3">
      <c r="B26" s="35">
        <v>16</v>
      </c>
      <c r="C26" s="37" t="s">
        <v>163</v>
      </c>
      <c r="D26" s="32" t="s">
        <v>164</v>
      </c>
      <c r="E26" s="35" t="s">
        <v>21</v>
      </c>
      <c r="F26" s="32"/>
      <c r="G26" s="32"/>
    </row>
    <row r="27" spans="2:7" ht="21.75" customHeight="1" x14ac:dyDescent="0.3">
      <c r="B27" s="49" t="s">
        <v>165</v>
      </c>
      <c r="C27" s="49"/>
      <c r="D27" s="49"/>
      <c r="E27" s="49"/>
      <c r="F27" s="49"/>
      <c r="G27" s="49"/>
    </row>
    <row r="28" spans="2:7" ht="33.75" customHeight="1" x14ac:dyDescent="0.3">
      <c r="B28" s="35">
        <v>17</v>
      </c>
      <c r="C28" s="37" t="s">
        <v>166</v>
      </c>
      <c r="D28" s="32" t="s">
        <v>167</v>
      </c>
      <c r="E28" s="35" t="s">
        <v>21</v>
      </c>
      <c r="F28" s="32"/>
      <c r="G28" s="32"/>
    </row>
    <row r="29" spans="2:7" ht="33.75" customHeight="1" x14ac:dyDescent="0.3">
      <c r="B29" s="35">
        <v>18</v>
      </c>
      <c r="C29" s="37" t="s">
        <v>168</v>
      </c>
      <c r="D29" s="32" t="s">
        <v>169</v>
      </c>
      <c r="E29" s="35" t="s">
        <v>25</v>
      </c>
      <c r="F29" s="32" t="s">
        <v>192</v>
      </c>
      <c r="G29" s="32" t="s">
        <v>193</v>
      </c>
    </row>
    <row r="30" spans="2:7" ht="33.75" customHeight="1" x14ac:dyDescent="0.3">
      <c r="B30" s="35">
        <v>19</v>
      </c>
      <c r="C30" s="37" t="s">
        <v>170</v>
      </c>
      <c r="D30" s="32" t="s">
        <v>171</v>
      </c>
      <c r="E30" s="35" t="s">
        <v>21</v>
      </c>
      <c r="F30" s="32"/>
      <c r="G30" s="32"/>
    </row>
    <row r="31" spans="2:7" ht="33.75" customHeight="1" x14ac:dyDescent="0.3">
      <c r="B31" s="35">
        <v>20</v>
      </c>
      <c r="C31" s="37" t="s">
        <v>174</v>
      </c>
      <c r="D31" s="32" t="s">
        <v>175</v>
      </c>
      <c r="E31" s="35" t="s">
        <v>21</v>
      </c>
      <c r="F31" s="32"/>
      <c r="G31" s="32"/>
    </row>
    <row r="32" spans="2:7" ht="33.75" customHeight="1" x14ac:dyDescent="0.3">
      <c r="B32" s="35">
        <v>21</v>
      </c>
      <c r="C32" s="37" t="s">
        <v>176</v>
      </c>
      <c r="D32" s="32" t="s">
        <v>177</v>
      </c>
      <c r="E32" s="35" t="s">
        <v>21</v>
      </c>
      <c r="F32" s="32"/>
      <c r="G32" s="32"/>
    </row>
    <row r="33" spans="2:7" ht="33.75" customHeight="1" x14ac:dyDescent="0.3">
      <c r="B33" s="35">
        <v>22</v>
      </c>
      <c r="C33" s="37" t="s">
        <v>178</v>
      </c>
      <c r="D33" s="32" t="s">
        <v>179</v>
      </c>
      <c r="E33" s="35" t="s">
        <v>21</v>
      </c>
      <c r="F33" s="32"/>
      <c r="G33" s="32"/>
    </row>
    <row r="35" spans="2:7" ht="15" customHeight="1" x14ac:dyDescent="0.3">
      <c r="B35" s="44" t="s">
        <v>180</v>
      </c>
      <c r="C35" s="44"/>
      <c r="D35" s="38">
        <f>COUNTIF(E8:E33,"✗ No cumple")</f>
        <v>0</v>
      </c>
    </row>
    <row r="36" spans="2:7" ht="15" customHeight="1" x14ac:dyDescent="0.3">
      <c r="B36" s="44" t="s">
        <v>181</v>
      </c>
      <c r="C36" s="44"/>
      <c r="D36" s="39">
        <f>COUNTIF(E8:E33,"⚠ Revisar")</f>
        <v>3</v>
      </c>
    </row>
    <row r="37" spans="2:7" ht="24" customHeight="1" x14ac:dyDescent="0.3">
      <c r="B37" s="50" t="s">
        <v>182</v>
      </c>
      <c r="C37" s="50"/>
      <c r="D37" s="51" t="str">
        <f>IF(D35&gt;0,"RECHAZADA - corregir ambigüedades críticas",IF(D36&gt;0,"APROBADA CON OBSERVACIONES - aclarar pendientes","APROBADA - lista para BDD"))</f>
        <v>APROBADA CON OBSERVACIONES - aclarar pendientes</v>
      </c>
      <c r="E37" s="51"/>
      <c r="F37" s="51"/>
      <c r="G37" s="51"/>
    </row>
  </sheetData>
  <mergeCells count="13">
    <mergeCell ref="B36:C36"/>
    <mergeCell ref="B37:C37"/>
    <mergeCell ref="D37:G37"/>
    <mergeCell ref="B8:G8"/>
    <mergeCell ref="B14:G14"/>
    <mergeCell ref="B21:G21"/>
    <mergeCell ref="B27:G27"/>
    <mergeCell ref="B35:C35"/>
    <mergeCell ref="B2:G2"/>
    <mergeCell ref="B3:C3"/>
    <mergeCell ref="E3:F3"/>
    <mergeCell ref="B4:G4"/>
    <mergeCell ref="B5:G5"/>
  </mergeCells>
  <dataValidations count="1">
    <dataValidation type="list" allowBlank="1" sqref="E9:E13 E15:E20 E22:E26 E28:E33" xr:uid="{00000000-0002-0000-0700-000000000000}">
      <formula1>"✓ Cumple,✗ No cumple,⚠ Revisar,N/A"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G37"/>
  <sheetViews>
    <sheetView zoomScaleNormal="100" workbookViewId="0"/>
  </sheetViews>
  <sheetFormatPr baseColWidth="10" defaultColWidth="8.6640625" defaultRowHeight="14.4" x14ac:dyDescent="0.3"/>
  <cols>
    <col min="1" max="1" width="3" customWidth="1"/>
    <col min="2" max="2" width="6" customWidth="1"/>
    <col min="3" max="3" width="30" customWidth="1"/>
    <col min="4" max="4" width="50" customWidth="1"/>
    <col min="5" max="5" width="14" customWidth="1"/>
    <col min="6" max="6" width="30" customWidth="1"/>
    <col min="7" max="7" width="34" customWidth="1"/>
  </cols>
  <sheetData>
    <row r="2" spans="2:7" ht="33.75" customHeight="1" x14ac:dyDescent="0.3">
      <c r="B2" s="11" t="s">
        <v>120</v>
      </c>
      <c r="C2" s="11"/>
      <c r="D2" s="11"/>
      <c r="E2" s="11"/>
      <c r="F2" s="11"/>
      <c r="G2" s="11"/>
    </row>
    <row r="3" spans="2:7" ht="15" customHeight="1" x14ac:dyDescent="0.3">
      <c r="B3" s="44" t="s">
        <v>97</v>
      </c>
      <c r="C3" s="44"/>
      <c r="D3" s="36"/>
      <c r="E3" s="44" t="s">
        <v>121</v>
      </c>
      <c r="F3" s="44"/>
      <c r="G3" s="36"/>
    </row>
    <row r="4" spans="2:7" ht="15" customHeight="1" x14ac:dyDescent="0.3">
      <c r="B4" s="44" t="s">
        <v>98</v>
      </c>
      <c r="C4" s="44"/>
      <c r="D4" s="44"/>
      <c r="E4" s="44"/>
      <c r="F4" s="44"/>
      <c r="G4" s="44"/>
    </row>
    <row r="5" spans="2:7" ht="30" customHeight="1" x14ac:dyDescent="0.3">
      <c r="B5" s="45"/>
      <c r="C5" s="45"/>
      <c r="D5" s="45"/>
      <c r="E5" s="45"/>
      <c r="F5" s="45"/>
      <c r="G5" s="45"/>
    </row>
    <row r="7" spans="2:7" ht="24" customHeight="1" x14ac:dyDescent="0.3">
      <c r="B7" s="29" t="s">
        <v>122</v>
      </c>
      <c r="C7" s="29" t="s">
        <v>123</v>
      </c>
      <c r="D7" s="29" t="s">
        <v>124</v>
      </c>
      <c r="E7" s="29" t="s">
        <v>125</v>
      </c>
      <c r="F7" s="29" t="s">
        <v>126</v>
      </c>
      <c r="G7" s="29" t="s">
        <v>127</v>
      </c>
    </row>
    <row r="8" spans="2:7" ht="21.75" customHeight="1" x14ac:dyDescent="0.3">
      <c r="B8" s="46" t="s">
        <v>128</v>
      </c>
      <c r="C8" s="46"/>
      <c r="D8" s="46"/>
      <c r="E8" s="46"/>
      <c r="F8" s="46"/>
      <c r="G8" s="46"/>
    </row>
    <row r="9" spans="2:7" ht="33.75" customHeight="1" x14ac:dyDescent="0.3">
      <c r="B9" s="35">
        <v>1</v>
      </c>
      <c r="C9" s="37" t="s">
        <v>129</v>
      </c>
      <c r="D9" s="32" t="s">
        <v>130</v>
      </c>
      <c r="E9" s="35" t="s">
        <v>21</v>
      </c>
      <c r="F9" s="32"/>
      <c r="G9" s="32"/>
    </row>
    <row r="10" spans="2:7" ht="33.75" customHeight="1" x14ac:dyDescent="0.3">
      <c r="B10" s="35">
        <v>2</v>
      </c>
      <c r="C10" s="37" t="s">
        <v>131</v>
      </c>
      <c r="D10" s="32" t="s">
        <v>132</v>
      </c>
      <c r="E10" s="35" t="s">
        <v>21</v>
      </c>
      <c r="F10" s="32"/>
      <c r="G10" s="32"/>
    </row>
    <row r="11" spans="2:7" ht="33.75" customHeight="1" x14ac:dyDescent="0.3">
      <c r="B11" s="35">
        <v>3</v>
      </c>
      <c r="C11" s="37" t="s">
        <v>133</v>
      </c>
      <c r="D11" s="32" t="s">
        <v>134</v>
      </c>
      <c r="E11" s="35" t="s">
        <v>21</v>
      </c>
      <c r="F11" s="32"/>
      <c r="G11" s="32"/>
    </row>
    <row r="12" spans="2:7" ht="33.75" customHeight="1" x14ac:dyDescent="0.3">
      <c r="B12" s="35">
        <v>4</v>
      </c>
      <c r="C12" s="37" t="s">
        <v>135</v>
      </c>
      <c r="D12" s="32" t="s">
        <v>136</v>
      </c>
      <c r="E12" s="35" t="s">
        <v>21</v>
      </c>
      <c r="F12" s="32"/>
      <c r="G12" s="32"/>
    </row>
    <row r="13" spans="2:7" ht="33.75" customHeight="1" x14ac:dyDescent="0.3">
      <c r="B13" s="35">
        <v>5</v>
      </c>
      <c r="C13" s="37" t="s">
        <v>137</v>
      </c>
      <c r="D13" s="32" t="s">
        <v>138</v>
      </c>
      <c r="E13" s="35" t="s">
        <v>21</v>
      </c>
      <c r="F13" s="32"/>
      <c r="G13" s="32"/>
    </row>
    <row r="14" spans="2:7" ht="21.75" customHeight="1" x14ac:dyDescent="0.3">
      <c r="B14" s="47" t="s">
        <v>139</v>
      </c>
      <c r="C14" s="47"/>
      <c r="D14" s="47"/>
      <c r="E14" s="47"/>
      <c r="F14" s="47"/>
      <c r="G14" s="47"/>
    </row>
    <row r="15" spans="2:7" ht="33.75" customHeight="1" x14ac:dyDescent="0.3">
      <c r="B15" s="35">
        <v>6</v>
      </c>
      <c r="C15" s="37" t="s">
        <v>140</v>
      </c>
      <c r="D15" s="32" t="s">
        <v>141</v>
      </c>
      <c r="E15" s="35" t="s">
        <v>21</v>
      </c>
      <c r="F15" s="32"/>
      <c r="G15" s="32"/>
    </row>
    <row r="16" spans="2:7" ht="33.75" customHeight="1" x14ac:dyDescent="0.3">
      <c r="B16" s="35">
        <v>7</v>
      </c>
      <c r="C16" s="37" t="s">
        <v>142</v>
      </c>
      <c r="D16" s="32" t="s">
        <v>143</v>
      </c>
      <c r="E16" s="35" t="s">
        <v>21</v>
      </c>
      <c r="F16" s="32"/>
      <c r="G16" s="32"/>
    </row>
    <row r="17" spans="2:7" ht="33.75" customHeight="1" x14ac:dyDescent="0.3">
      <c r="B17" s="35">
        <v>8</v>
      </c>
      <c r="C17" s="37" t="s">
        <v>144</v>
      </c>
      <c r="D17" s="32" t="s">
        <v>145</v>
      </c>
      <c r="E17" s="35" t="s">
        <v>21</v>
      </c>
      <c r="F17" s="32"/>
      <c r="G17" s="32"/>
    </row>
    <row r="18" spans="2:7" ht="33.75" customHeight="1" x14ac:dyDescent="0.3">
      <c r="B18" s="35">
        <v>9</v>
      </c>
      <c r="C18" s="37" t="s">
        <v>146</v>
      </c>
      <c r="D18" s="32" t="s">
        <v>147</v>
      </c>
      <c r="E18" s="35" t="s">
        <v>21</v>
      </c>
      <c r="F18" s="32"/>
      <c r="G18" s="32"/>
    </row>
    <row r="19" spans="2:7" ht="33.75" customHeight="1" x14ac:dyDescent="0.3">
      <c r="B19" s="35">
        <v>10</v>
      </c>
      <c r="C19" s="37" t="s">
        <v>150</v>
      </c>
      <c r="D19" s="32" t="s">
        <v>151</v>
      </c>
      <c r="E19" s="35" t="s">
        <v>21</v>
      </c>
      <c r="F19" s="32"/>
      <c r="G19" s="32"/>
    </row>
    <row r="20" spans="2:7" ht="33.75" customHeight="1" x14ac:dyDescent="0.3">
      <c r="B20" s="35">
        <v>11</v>
      </c>
      <c r="C20" s="37" t="s">
        <v>152</v>
      </c>
      <c r="D20" s="32" t="s">
        <v>153</v>
      </c>
      <c r="E20" s="35" t="s">
        <v>21</v>
      </c>
      <c r="F20" s="32"/>
      <c r="G20" s="32"/>
    </row>
    <row r="21" spans="2:7" ht="21.75" customHeight="1" x14ac:dyDescent="0.3">
      <c r="B21" s="48" t="s">
        <v>154</v>
      </c>
      <c r="C21" s="48"/>
      <c r="D21" s="48"/>
      <c r="E21" s="48"/>
      <c r="F21" s="48"/>
      <c r="G21" s="48"/>
    </row>
    <row r="22" spans="2:7" ht="33.75" customHeight="1" x14ac:dyDescent="0.3">
      <c r="B22" s="35">
        <v>12</v>
      </c>
      <c r="C22" s="37" t="s">
        <v>155</v>
      </c>
      <c r="D22" s="32" t="s">
        <v>156</v>
      </c>
      <c r="E22" s="35" t="s">
        <v>21</v>
      </c>
      <c r="F22" s="32"/>
      <c r="G22" s="32"/>
    </row>
    <row r="23" spans="2:7" ht="33.75" customHeight="1" x14ac:dyDescent="0.3">
      <c r="B23" s="35">
        <v>13</v>
      </c>
      <c r="C23" s="37" t="s">
        <v>157</v>
      </c>
      <c r="D23" s="32" t="s">
        <v>158</v>
      </c>
      <c r="E23" s="35" t="s">
        <v>21</v>
      </c>
      <c r="F23" s="32"/>
      <c r="G23" s="32"/>
    </row>
    <row r="24" spans="2:7" ht="33.75" customHeight="1" x14ac:dyDescent="0.3">
      <c r="B24" s="35">
        <v>14</v>
      </c>
      <c r="C24" s="37" t="s">
        <v>159</v>
      </c>
      <c r="D24" s="32" t="s">
        <v>160</v>
      </c>
      <c r="E24" s="35" t="s">
        <v>21</v>
      </c>
      <c r="F24" s="32"/>
      <c r="G24" s="32"/>
    </row>
    <row r="25" spans="2:7" ht="33.75" customHeight="1" x14ac:dyDescent="0.3">
      <c r="B25" s="35">
        <v>15</v>
      </c>
      <c r="C25" s="37" t="s">
        <v>161</v>
      </c>
      <c r="D25" s="32" t="s">
        <v>162</v>
      </c>
      <c r="E25" s="35" t="s">
        <v>21</v>
      </c>
      <c r="F25" s="32"/>
      <c r="G25" s="32"/>
    </row>
    <row r="26" spans="2:7" ht="33.75" customHeight="1" x14ac:dyDescent="0.3">
      <c r="B26" s="35">
        <v>16</v>
      </c>
      <c r="C26" s="37" t="s">
        <v>163</v>
      </c>
      <c r="D26" s="32" t="s">
        <v>164</v>
      </c>
      <c r="E26" s="35" t="s">
        <v>21</v>
      </c>
      <c r="F26" s="32"/>
      <c r="G26" s="32"/>
    </row>
    <row r="27" spans="2:7" ht="21.75" customHeight="1" x14ac:dyDescent="0.3">
      <c r="B27" s="49" t="s">
        <v>165</v>
      </c>
      <c r="C27" s="49"/>
      <c r="D27" s="49"/>
      <c r="E27" s="49"/>
      <c r="F27" s="49"/>
      <c r="G27" s="49"/>
    </row>
    <row r="28" spans="2:7" ht="33.75" customHeight="1" x14ac:dyDescent="0.3">
      <c r="B28" s="35">
        <v>17</v>
      </c>
      <c r="C28" s="37" t="s">
        <v>166</v>
      </c>
      <c r="D28" s="32" t="s">
        <v>167</v>
      </c>
      <c r="E28" s="35" t="s">
        <v>21</v>
      </c>
      <c r="F28" s="32"/>
      <c r="G28" s="32"/>
    </row>
    <row r="29" spans="2:7" ht="33.75" customHeight="1" x14ac:dyDescent="0.3">
      <c r="B29" s="35">
        <v>18</v>
      </c>
      <c r="C29" s="37" t="s">
        <v>168</v>
      </c>
      <c r="D29" s="32" t="s">
        <v>169</v>
      </c>
      <c r="E29" s="35" t="s">
        <v>21</v>
      </c>
      <c r="F29" s="32"/>
      <c r="G29" s="32"/>
    </row>
    <row r="30" spans="2:7" ht="33.75" customHeight="1" x14ac:dyDescent="0.3">
      <c r="B30" s="35">
        <v>19</v>
      </c>
      <c r="C30" s="37" t="s">
        <v>170</v>
      </c>
      <c r="D30" s="32" t="s">
        <v>171</v>
      </c>
      <c r="E30" s="35" t="s">
        <v>25</v>
      </c>
      <c r="F30" s="32" t="s">
        <v>99</v>
      </c>
      <c r="G30" s="32" t="s">
        <v>194</v>
      </c>
    </row>
    <row r="31" spans="2:7" ht="33.75" customHeight="1" x14ac:dyDescent="0.3">
      <c r="B31" s="35">
        <v>20</v>
      </c>
      <c r="C31" s="37" t="s">
        <v>174</v>
      </c>
      <c r="D31" s="32" t="s">
        <v>175</v>
      </c>
      <c r="E31" s="35" t="s">
        <v>21</v>
      </c>
      <c r="F31" s="32"/>
      <c r="G31" s="32"/>
    </row>
    <row r="32" spans="2:7" ht="33.75" customHeight="1" x14ac:dyDescent="0.3">
      <c r="B32" s="35">
        <v>21</v>
      </c>
      <c r="C32" s="37" t="s">
        <v>176</v>
      </c>
      <c r="D32" s="32" t="s">
        <v>177</v>
      </c>
      <c r="E32" s="35" t="s">
        <v>21</v>
      </c>
      <c r="F32" s="32"/>
      <c r="G32" s="32"/>
    </row>
    <row r="33" spans="2:7" ht="33.75" customHeight="1" x14ac:dyDescent="0.3">
      <c r="B33" s="35">
        <v>22</v>
      </c>
      <c r="C33" s="37" t="s">
        <v>178</v>
      </c>
      <c r="D33" s="32" t="s">
        <v>179</v>
      </c>
      <c r="E33" s="35" t="s">
        <v>21</v>
      </c>
      <c r="F33" s="32"/>
      <c r="G33" s="32"/>
    </row>
    <row r="35" spans="2:7" ht="15" customHeight="1" x14ac:dyDescent="0.3">
      <c r="B35" s="44" t="s">
        <v>180</v>
      </c>
      <c r="C35" s="44"/>
      <c r="D35" s="38">
        <f>COUNTIF(E8:E33,"✗ No cumple")</f>
        <v>0</v>
      </c>
    </row>
    <row r="36" spans="2:7" ht="15" customHeight="1" x14ac:dyDescent="0.3">
      <c r="B36" s="44" t="s">
        <v>181</v>
      </c>
      <c r="C36" s="44"/>
      <c r="D36" s="39">
        <f>COUNTIF(E8:E33,"⚠ Revisar")</f>
        <v>1</v>
      </c>
    </row>
    <row r="37" spans="2:7" ht="24" customHeight="1" x14ac:dyDescent="0.3">
      <c r="B37" s="50" t="s">
        <v>182</v>
      </c>
      <c r="C37" s="50"/>
      <c r="D37" s="51" t="str">
        <f>IF(D35&gt;0,"RECHAZADA - corregir ambigüedades críticas",IF(D36&gt;0,"APROBADA CON OBSERVACIONES - aclarar pendientes","APROBADA - lista para BDD"))</f>
        <v>APROBADA CON OBSERVACIONES - aclarar pendientes</v>
      </c>
      <c r="E37" s="51"/>
      <c r="F37" s="51"/>
      <c r="G37" s="51"/>
    </row>
  </sheetData>
  <mergeCells count="13">
    <mergeCell ref="B36:C36"/>
    <mergeCell ref="B37:C37"/>
    <mergeCell ref="D37:G37"/>
    <mergeCell ref="B8:G8"/>
    <mergeCell ref="B14:G14"/>
    <mergeCell ref="B21:G21"/>
    <mergeCell ref="B27:G27"/>
    <mergeCell ref="B35:C35"/>
    <mergeCell ref="B2:G2"/>
    <mergeCell ref="B3:C3"/>
    <mergeCell ref="E3:F3"/>
    <mergeCell ref="B4:G4"/>
    <mergeCell ref="B5:G5"/>
  </mergeCells>
  <dataValidations count="1">
    <dataValidation type="list" allowBlank="1" sqref="E9:E13 E15:E20 E22:E26 E28:E33" xr:uid="{00000000-0002-0000-0800-000000000000}">
      <formula1>"✓ Cumple,✗ No cumple,⚠ Revisar,N/A"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G37"/>
  <sheetViews>
    <sheetView zoomScaleNormal="100" workbookViewId="0"/>
  </sheetViews>
  <sheetFormatPr baseColWidth="10" defaultColWidth="8.6640625" defaultRowHeight="14.4" x14ac:dyDescent="0.3"/>
  <cols>
    <col min="1" max="1" width="3" customWidth="1"/>
    <col min="2" max="2" width="6" customWidth="1"/>
    <col min="3" max="3" width="30" customWidth="1"/>
    <col min="4" max="4" width="50" customWidth="1"/>
    <col min="5" max="5" width="14" customWidth="1"/>
    <col min="6" max="6" width="30" customWidth="1"/>
    <col min="7" max="7" width="34" customWidth="1"/>
  </cols>
  <sheetData>
    <row r="2" spans="2:7" ht="33.75" customHeight="1" x14ac:dyDescent="0.3">
      <c r="B2" s="11" t="s">
        <v>120</v>
      </c>
      <c r="C2" s="11"/>
      <c r="D2" s="11"/>
      <c r="E2" s="11"/>
      <c r="F2" s="11"/>
      <c r="G2" s="11"/>
    </row>
    <row r="3" spans="2:7" ht="15" customHeight="1" x14ac:dyDescent="0.3">
      <c r="B3" s="44" t="s">
        <v>100</v>
      </c>
      <c r="C3" s="44"/>
      <c r="D3" s="36"/>
      <c r="E3" s="44" t="s">
        <v>121</v>
      </c>
      <c r="F3" s="44"/>
      <c r="G3" s="36"/>
    </row>
    <row r="4" spans="2:7" ht="15" customHeight="1" x14ac:dyDescent="0.3">
      <c r="B4" s="44" t="s">
        <v>101</v>
      </c>
      <c r="C4" s="44"/>
      <c r="D4" s="44"/>
      <c r="E4" s="44"/>
      <c r="F4" s="44"/>
      <c r="G4" s="44"/>
    </row>
    <row r="5" spans="2:7" ht="30" customHeight="1" x14ac:dyDescent="0.3">
      <c r="B5" s="45"/>
      <c r="C5" s="45"/>
      <c r="D5" s="45"/>
      <c r="E5" s="45"/>
      <c r="F5" s="45"/>
      <c r="G5" s="45"/>
    </row>
    <row r="7" spans="2:7" ht="24" customHeight="1" x14ac:dyDescent="0.3">
      <c r="B7" s="29" t="s">
        <v>122</v>
      </c>
      <c r="C7" s="29" t="s">
        <v>123</v>
      </c>
      <c r="D7" s="29" t="s">
        <v>124</v>
      </c>
      <c r="E7" s="29" t="s">
        <v>125</v>
      </c>
      <c r="F7" s="29" t="s">
        <v>126</v>
      </c>
      <c r="G7" s="29" t="s">
        <v>127</v>
      </c>
    </row>
    <row r="8" spans="2:7" ht="21.75" customHeight="1" x14ac:dyDescent="0.3">
      <c r="B8" s="46" t="s">
        <v>128</v>
      </c>
      <c r="C8" s="46"/>
      <c r="D8" s="46"/>
      <c r="E8" s="46"/>
      <c r="F8" s="46"/>
      <c r="G8" s="46"/>
    </row>
    <row r="9" spans="2:7" ht="33.75" customHeight="1" x14ac:dyDescent="0.3">
      <c r="B9" s="35">
        <v>1</v>
      </c>
      <c r="C9" s="37" t="s">
        <v>129</v>
      </c>
      <c r="D9" s="32" t="s">
        <v>130</v>
      </c>
      <c r="E9" s="35" t="s">
        <v>21</v>
      </c>
      <c r="F9" s="32"/>
      <c r="G9" s="32"/>
    </row>
    <row r="10" spans="2:7" ht="33.75" customHeight="1" x14ac:dyDescent="0.3">
      <c r="B10" s="35">
        <v>2</v>
      </c>
      <c r="C10" s="37" t="s">
        <v>131</v>
      </c>
      <c r="D10" s="32" t="s">
        <v>132</v>
      </c>
      <c r="E10" s="35" t="s">
        <v>21</v>
      </c>
      <c r="F10" s="32"/>
      <c r="G10" s="32"/>
    </row>
    <row r="11" spans="2:7" ht="33.75" customHeight="1" x14ac:dyDescent="0.3">
      <c r="B11" s="35">
        <v>3</v>
      </c>
      <c r="C11" s="37" t="s">
        <v>133</v>
      </c>
      <c r="D11" s="32" t="s">
        <v>134</v>
      </c>
      <c r="E11" s="35" t="s">
        <v>21</v>
      </c>
      <c r="F11" s="32"/>
      <c r="G11" s="32"/>
    </row>
    <row r="12" spans="2:7" ht="33.75" customHeight="1" x14ac:dyDescent="0.3">
      <c r="B12" s="35">
        <v>4</v>
      </c>
      <c r="C12" s="37" t="s">
        <v>135</v>
      </c>
      <c r="D12" s="32" t="s">
        <v>136</v>
      </c>
      <c r="E12" s="35" t="s">
        <v>21</v>
      </c>
      <c r="F12" s="32"/>
      <c r="G12" s="32"/>
    </row>
    <row r="13" spans="2:7" ht="33.75" customHeight="1" x14ac:dyDescent="0.3">
      <c r="B13" s="35">
        <v>5</v>
      </c>
      <c r="C13" s="37" t="s">
        <v>137</v>
      </c>
      <c r="D13" s="32" t="s">
        <v>138</v>
      </c>
      <c r="E13" s="35" t="s">
        <v>21</v>
      </c>
      <c r="F13" s="32"/>
      <c r="G13" s="32"/>
    </row>
    <row r="14" spans="2:7" ht="21.75" customHeight="1" x14ac:dyDescent="0.3">
      <c r="B14" s="47" t="s">
        <v>139</v>
      </c>
      <c r="C14" s="47"/>
      <c r="D14" s="47"/>
      <c r="E14" s="47"/>
      <c r="F14" s="47"/>
      <c r="G14" s="47"/>
    </row>
    <row r="15" spans="2:7" ht="33.75" customHeight="1" x14ac:dyDescent="0.3">
      <c r="B15" s="35">
        <v>6</v>
      </c>
      <c r="C15" s="37" t="s">
        <v>140</v>
      </c>
      <c r="D15" s="32" t="s">
        <v>141</v>
      </c>
      <c r="E15" s="35" t="s">
        <v>21</v>
      </c>
      <c r="F15" s="32"/>
      <c r="G15" s="32"/>
    </row>
    <row r="16" spans="2:7" ht="33.75" customHeight="1" x14ac:dyDescent="0.3">
      <c r="B16" s="35">
        <v>7</v>
      </c>
      <c r="C16" s="37" t="s">
        <v>142</v>
      </c>
      <c r="D16" s="32" t="s">
        <v>143</v>
      </c>
      <c r="E16" s="35" t="s">
        <v>25</v>
      </c>
      <c r="F16" s="32" t="s">
        <v>195</v>
      </c>
      <c r="G16" s="32" t="s">
        <v>196</v>
      </c>
    </row>
    <row r="17" spans="2:7" ht="33.75" customHeight="1" x14ac:dyDescent="0.3">
      <c r="B17" s="35">
        <v>8</v>
      </c>
      <c r="C17" s="37" t="s">
        <v>144</v>
      </c>
      <c r="D17" s="32" t="s">
        <v>145</v>
      </c>
      <c r="E17" s="35" t="s">
        <v>21</v>
      </c>
      <c r="F17" s="32"/>
      <c r="G17" s="32"/>
    </row>
    <row r="18" spans="2:7" ht="33.75" customHeight="1" x14ac:dyDescent="0.3">
      <c r="B18" s="35">
        <v>9</v>
      </c>
      <c r="C18" s="37" t="s">
        <v>146</v>
      </c>
      <c r="D18" s="32" t="s">
        <v>147</v>
      </c>
      <c r="E18" s="35" t="s">
        <v>23</v>
      </c>
      <c r="F18" s="32" t="s">
        <v>103</v>
      </c>
      <c r="G18" s="32" t="s">
        <v>197</v>
      </c>
    </row>
    <row r="19" spans="2:7" ht="33.75" customHeight="1" x14ac:dyDescent="0.3">
      <c r="B19" s="35">
        <v>10</v>
      </c>
      <c r="C19" s="37" t="s">
        <v>150</v>
      </c>
      <c r="D19" s="32" t="s">
        <v>151</v>
      </c>
      <c r="E19" s="35" t="s">
        <v>21</v>
      </c>
      <c r="F19" s="32"/>
      <c r="G19" s="32"/>
    </row>
    <row r="20" spans="2:7" ht="33.75" customHeight="1" x14ac:dyDescent="0.3">
      <c r="B20" s="35">
        <v>11</v>
      </c>
      <c r="C20" s="37" t="s">
        <v>152</v>
      </c>
      <c r="D20" s="32" t="s">
        <v>153</v>
      </c>
      <c r="E20" s="35" t="s">
        <v>21</v>
      </c>
      <c r="F20" s="32"/>
      <c r="G20" s="32"/>
    </row>
    <row r="21" spans="2:7" ht="21.75" customHeight="1" x14ac:dyDescent="0.3">
      <c r="B21" s="48" t="s">
        <v>154</v>
      </c>
      <c r="C21" s="48"/>
      <c r="D21" s="48"/>
      <c r="E21" s="48"/>
      <c r="F21" s="48"/>
      <c r="G21" s="48"/>
    </row>
    <row r="22" spans="2:7" ht="33.75" customHeight="1" x14ac:dyDescent="0.3">
      <c r="B22" s="35">
        <v>12</v>
      </c>
      <c r="C22" s="37" t="s">
        <v>155</v>
      </c>
      <c r="D22" s="32" t="s">
        <v>156</v>
      </c>
      <c r="E22" s="35" t="s">
        <v>21</v>
      </c>
      <c r="F22" s="32"/>
      <c r="G22" s="32"/>
    </row>
    <row r="23" spans="2:7" ht="33.75" customHeight="1" x14ac:dyDescent="0.3">
      <c r="B23" s="35">
        <v>13</v>
      </c>
      <c r="C23" s="37" t="s">
        <v>157</v>
      </c>
      <c r="D23" s="32" t="s">
        <v>158</v>
      </c>
      <c r="E23" s="35" t="s">
        <v>21</v>
      </c>
      <c r="F23" s="32"/>
      <c r="G23" s="32"/>
    </row>
    <row r="24" spans="2:7" ht="33.75" customHeight="1" x14ac:dyDescent="0.3">
      <c r="B24" s="35">
        <v>14</v>
      </c>
      <c r="C24" s="37" t="s">
        <v>159</v>
      </c>
      <c r="D24" s="32" t="s">
        <v>160</v>
      </c>
      <c r="E24" s="35" t="s">
        <v>21</v>
      </c>
      <c r="F24" s="32"/>
      <c r="G24" s="32"/>
    </row>
    <row r="25" spans="2:7" ht="33.75" customHeight="1" x14ac:dyDescent="0.3">
      <c r="B25" s="35">
        <v>15</v>
      </c>
      <c r="C25" s="37" t="s">
        <v>161</v>
      </c>
      <c r="D25" s="32" t="s">
        <v>162</v>
      </c>
      <c r="E25" s="35" t="s">
        <v>21</v>
      </c>
      <c r="F25" s="32"/>
      <c r="G25" s="32"/>
    </row>
    <row r="26" spans="2:7" ht="33.75" customHeight="1" x14ac:dyDescent="0.3">
      <c r="B26" s="35">
        <v>16</v>
      </c>
      <c r="C26" s="37" t="s">
        <v>163</v>
      </c>
      <c r="D26" s="32" t="s">
        <v>164</v>
      </c>
      <c r="E26" s="35" t="s">
        <v>21</v>
      </c>
      <c r="F26" s="32"/>
      <c r="G26" s="32"/>
    </row>
    <row r="27" spans="2:7" ht="21.75" customHeight="1" x14ac:dyDescent="0.3">
      <c r="B27" s="49" t="s">
        <v>165</v>
      </c>
      <c r="C27" s="49"/>
      <c r="D27" s="49"/>
      <c r="E27" s="49"/>
      <c r="F27" s="49"/>
      <c r="G27" s="49"/>
    </row>
    <row r="28" spans="2:7" ht="33.75" customHeight="1" x14ac:dyDescent="0.3">
      <c r="B28" s="35">
        <v>17</v>
      </c>
      <c r="C28" s="37" t="s">
        <v>166</v>
      </c>
      <c r="D28" s="32" t="s">
        <v>167</v>
      </c>
      <c r="E28" s="35" t="s">
        <v>21</v>
      </c>
      <c r="F28" s="32"/>
      <c r="G28" s="32"/>
    </row>
    <row r="29" spans="2:7" ht="33.75" customHeight="1" x14ac:dyDescent="0.3">
      <c r="B29" s="35">
        <v>18</v>
      </c>
      <c r="C29" s="37" t="s">
        <v>168</v>
      </c>
      <c r="D29" s="32" t="s">
        <v>169</v>
      </c>
      <c r="E29" s="35" t="s">
        <v>21</v>
      </c>
      <c r="F29" s="32"/>
      <c r="G29" s="32"/>
    </row>
    <row r="30" spans="2:7" ht="33.75" customHeight="1" x14ac:dyDescent="0.3">
      <c r="B30" s="35">
        <v>19</v>
      </c>
      <c r="C30" s="37" t="s">
        <v>170</v>
      </c>
      <c r="D30" s="32" t="s">
        <v>171</v>
      </c>
      <c r="E30" s="35" t="s">
        <v>21</v>
      </c>
      <c r="F30" s="32"/>
      <c r="G30" s="32"/>
    </row>
    <row r="31" spans="2:7" ht="33.75" customHeight="1" x14ac:dyDescent="0.3">
      <c r="B31" s="35">
        <v>20</v>
      </c>
      <c r="C31" s="37" t="s">
        <v>174</v>
      </c>
      <c r="D31" s="32" t="s">
        <v>175</v>
      </c>
      <c r="E31" s="35" t="s">
        <v>21</v>
      </c>
      <c r="F31" s="32"/>
      <c r="G31" s="32"/>
    </row>
    <row r="32" spans="2:7" ht="33.75" customHeight="1" x14ac:dyDescent="0.3">
      <c r="B32" s="35">
        <v>21</v>
      </c>
      <c r="C32" s="37" t="s">
        <v>176</v>
      </c>
      <c r="D32" s="32" t="s">
        <v>177</v>
      </c>
      <c r="E32" s="35" t="s">
        <v>21</v>
      </c>
      <c r="F32" s="32"/>
      <c r="G32" s="32"/>
    </row>
    <row r="33" spans="2:7" ht="33.75" customHeight="1" x14ac:dyDescent="0.3">
      <c r="B33" s="35">
        <v>22</v>
      </c>
      <c r="C33" s="37" t="s">
        <v>178</v>
      </c>
      <c r="D33" s="32" t="s">
        <v>179</v>
      </c>
      <c r="E33" s="35" t="s">
        <v>21</v>
      </c>
      <c r="F33" s="32"/>
      <c r="G33" s="32"/>
    </row>
    <row r="35" spans="2:7" ht="15" customHeight="1" x14ac:dyDescent="0.3">
      <c r="B35" s="44" t="s">
        <v>180</v>
      </c>
      <c r="C35" s="44"/>
      <c r="D35" s="38">
        <f>COUNTIF(E8:E33,"✗ No cumple")</f>
        <v>1</v>
      </c>
    </row>
    <row r="36" spans="2:7" ht="15" customHeight="1" x14ac:dyDescent="0.3">
      <c r="B36" s="44" t="s">
        <v>181</v>
      </c>
      <c r="C36" s="44"/>
      <c r="D36" s="39">
        <f>COUNTIF(E8:E33,"⚠ Revisar")</f>
        <v>1</v>
      </c>
    </row>
    <row r="37" spans="2:7" ht="24" customHeight="1" x14ac:dyDescent="0.3">
      <c r="B37" s="50" t="s">
        <v>182</v>
      </c>
      <c r="C37" s="50"/>
      <c r="D37" s="51" t="str">
        <f>IF(D35&gt;0,"RECHAZADA - corregir ambigüedades críticas",IF(D36&gt;0,"APROBADA CON OBSERVACIONES - aclarar pendientes","APROBADA - lista para BDD"))</f>
        <v>RECHAZADA - corregir ambigüedades críticas</v>
      </c>
      <c r="E37" s="51"/>
      <c r="F37" s="51"/>
      <c r="G37" s="51"/>
    </row>
  </sheetData>
  <mergeCells count="13">
    <mergeCell ref="B36:C36"/>
    <mergeCell ref="B37:C37"/>
    <mergeCell ref="D37:G37"/>
    <mergeCell ref="B8:G8"/>
    <mergeCell ref="B14:G14"/>
    <mergeCell ref="B21:G21"/>
    <mergeCell ref="B27:G27"/>
    <mergeCell ref="B35:C35"/>
    <mergeCell ref="B2:G2"/>
    <mergeCell ref="B3:C3"/>
    <mergeCell ref="E3:F3"/>
    <mergeCell ref="B4:G4"/>
    <mergeCell ref="B5:G5"/>
  </mergeCells>
  <dataValidations count="1">
    <dataValidation type="list" allowBlank="1" sqref="E9:E13 E15:E20 E22:E26 E28:E33" xr:uid="{00000000-0002-0000-0900-000000000000}">
      <formula1>"✓ Cumple,✗ No cumple,⚠ Revisar,N/A"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G37"/>
  <sheetViews>
    <sheetView zoomScaleNormal="100" workbookViewId="0"/>
  </sheetViews>
  <sheetFormatPr baseColWidth="10" defaultColWidth="8.6640625" defaultRowHeight="14.4" x14ac:dyDescent="0.3"/>
  <cols>
    <col min="1" max="1" width="3" customWidth="1"/>
    <col min="2" max="2" width="6" customWidth="1"/>
    <col min="3" max="3" width="30" customWidth="1"/>
    <col min="4" max="4" width="50" customWidth="1"/>
    <col min="5" max="5" width="14" customWidth="1"/>
    <col min="6" max="6" width="30" customWidth="1"/>
    <col min="7" max="7" width="34" customWidth="1"/>
  </cols>
  <sheetData>
    <row r="2" spans="2:7" ht="33.75" customHeight="1" x14ac:dyDescent="0.3">
      <c r="B2" s="11" t="s">
        <v>120</v>
      </c>
      <c r="C2" s="11"/>
      <c r="D2" s="11"/>
      <c r="E2" s="11"/>
      <c r="F2" s="11"/>
      <c r="G2" s="11"/>
    </row>
    <row r="3" spans="2:7" ht="15" customHeight="1" x14ac:dyDescent="0.3">
      <c r="B3" s="44" t="s">
        <v>104</v>
      </c>
      <c r="C3" s="44"/>
      <c r="D3" s="36"/>
      <c r="E3" s="44" t="s">
        <v>121</v>
      </c>
      <c r="F3" s="44"/>
      <c r="G3" s="36"/>
    </row>
    <row r="4" spans="2:7" ht="15" customHeight="1" x14ac:dyDescent="0.3">
      <c r="B4" s="44" t="s">
        <v>105</v>
      </c>
      <c r="C4" s="44"/>
      <c r="D4" s="44"/>
      <c r="E4" s="44"/>
      <c r="F4" s="44"/>
      <c r="G4" s="44"/>
    </row>
    <row r="5" spans="2:7" ht="30" customHeight="1" x14ac:dyDescent="0.3">
      <c r="B5" s="45"/>
      <c r="C5" s="45"/>
      <c r="D5" s="45"/>
      <c r="E5" s="45"/>
      <c r="F5" s="45"/>
      <c r="G5" s="45"/>
    </row>
    <row r="7" spans="2:7" ht="24" customHeight="1" x14ac:dyDescent="0.3">
      <c r="B7" s="29" t="s">
        <v>122</v>
      </c>
      <c r="C7" s="29" t="s">
        <v>123</v>
      </c>
      <c r="D7" s="29" t="s">
        <v>124</v>
      </c>
      <c r="E7" s="29" t="s">
        <v>125</v>
      </c>
      <c r="F7" s="29" t="s">
        <v>126</v>
      </c>
      <c r="G7" s="29" t="s">
        <v>127</v>
      </c>
    </row>
    <row r="8" spans="2:7" ht="21.75" customHeight="1" x14ac:dyDescent="0.3">
      <c r="B8" s="46" t="s">
        <v>128</v>
      </c>
      <c r="C8" s="46"/>
      <c r="D8" s="46"/>
      <c r="E8" s="46"/>
      <c r="F8" s="46"/>
      <c r="G8" s="46"/>
    </row>
    <row r="9" spans="2:7" ht="33.75" customHeight="1" x14ac:dyDescent="0.3">
      <c r="B9" s="35">
        <v>1</v>
      </c>
      <c r="C9" s="37" t="s">
        <v>129</v>
      </c>
      <c r="D9" s="32" t="s">
        <v>130</v>
      </c>
      <c r="E9" s="35" t="s">
        <v>21</v>
      </c>
      <c r="F9" s="32"/>
      <c r="G9" s="32"/>
    </row>
    <row r="10" spans="2:7" ht="33.75" customHeight="1" x14ac:dyDescent="0.3">
      <c r="B10" s="35">
        <v>2</v>
      </c>
      <c r="C10" s="37" t="s">
        <v>131</v>
      </c>
      <c r="D10" s="32" t="s">
        <v>132</v>
      </c>
      <c r="E10" s="35" t="s">
        <v>21</v>
      </c>
      <c r="F10" s="32"/>
      <c r="G10" s="32"/>
    </row>
    <row r="11" spans="2:7" ht="33.75" customHeight="1" x14ac:dyDescent="0.3">
      <c r="B11" s="35">
        <v>3</v>
      </c>
      <c r="C11" s="37" t="s">
        <v>133</v>
      </c>
      <c r="D11" s="32" t="s">
        <v>134</v>
      </c>
      <c r="E11" s="35" t="s">
        <v>21</v>
      </c>
      <c r="F11" s="32"/>
      <c r="G11" s="32"/>
    </row>
    <row r="12" spans="2:7" ht="33.75" customHeight="1" x14ac:dyDescent="0.3">
      <c r="B12" s="35">
        <v>4</v>
      </c>
      <c r="C12" s="37" t="s">
        <v>135</v>
      </c>
      <c r="D12" s="32" t="s">
        <v>136</v>
      </c>
      <c r="E12" s="35" t="s">
        <v>21</v>
      </c>
      <c r="F12" s="32"/>
      <c r="G12" s="32"/>
    </row>
    <row r="13" spans="2:7" ht="33.75" customHeight="1" x14ac:dyDescent="0.3">
      <c r="B13" s="35">
        <v>5</v>
      </c>
      <c r="C13" s="37" t="s">
        <v>137</v>
      </c>
      <c r="D13" s="32" t="s">
        <v>138</v>
      </c>
      <c r="E13" s="35" t="s">
        <v>21</v>
      </c>
      <c r="F13" s="32"/>
      <c r="G13" s="32"/>
    </row>
    <row r="14" spans="2:7" ht="21.75" customHeight="1" x14ac:dyDescent="0.3">
      <c r="B14" s="47" t="s">
        <v>139</v>
      </c>
      <c r="C14" s="47"/>
      <c r="D14" s="47"/>
      <c r="E14" s="47"/>
      <c r="F14" s="47"/>
      <c r="G14" s="47"/>
    </row>
    <row r="15" spans="2:7" ht="33.75" customHeight="1" x14ac:dyDescent="0.3">
      <c r="B15" s="35">
        <v>6</v>
      </c>
      <c r="C15" s="37" t="s">
        <v>140</v>
      </c>
      <c r="D15" s="32" t="s">
        <v>141</v>
      </c>
      <c r="E15" s="35" t="s">
        <v>25</v>
      </c>
      <c r="F15" s="32" t="s">
        <v>198</v>
      </c>
      <c r="G15" s="32" t="s">
        <v>199</v>
      </c>
    </row>
    <row r="16" spans="2:7" ht="33.75" customHeight="1" x14ac:dyDescent="0.3">
      <c r="B16" s="35">
        <v>7</v>
      </c>
      <c r="C16" s="37" t="s">
        <v>142</v>
      </c>
      <c r="D16" s="32" t="s">
        <v>143</v>
      </c>
      <c r="E16" s="35" t="s">
        <v>21</v>
      </c>
      <c r="F16" s="32"/>
      <c r="G16" s="32"/>
    </row>
    <row r="17" spans="2:7" ht="33.75" customHeight="1" x14ac:dyDescent="0.3">
      <c r="B17" s="35">
        <v>8</v>
      </c>
      <c r="C17" s="37" t="s">
        <v>144</v>
      </c>
      <c r="D17" s="32" t="s">
        <v>145</v>
      </c>
      <c r="E17" s="35" t="s">
        <v>21</v>
      </c>
      <c r="F17" s="32"/>
      <c r="G17" s="32"/>
    </row>
    <row r="18" spans="2:7" ht="33.75" customHeight="1" x14ac:dyDescent="0.3">
      <c r="B18" s="35">
        <v>9</v>
      </c>
      <c r="C18" s="37" t="s">
        <v>146</v>
      </c>
      <c r="D18" s="32" t="s">
        <v>147</v>
      </c>
      <c r="E18" s="35" t="s">
        <v>21</v>
      </c>
      <c r="F18" s="32"/>
      <c r="G18" s="32"/>
    </row>
    <row r="19" spans="2:7" ht="33.75" customHeight="1" x14ac:dyDescent="0.3">
      <c r="B19" s="35">
        <v>10</v>
      </c>
      <c r="C19" s="37" t="s">
        <v>150</v>
      </c>
      <c r="D19" s="32" t="s">
        <v>151</v>
      </c>
      <c r="E19" s="35" t="s">
        <v>21</v>
      </c>
      <c r="F19" s="32"/>
      <c r="G19" s="32"/>
    </row>
    <row r="20" spans="2:7" ht="33.75" customHeight="1" x14ac:dyDescent="0.3">
      <c r="B20" s="35">
        <v>11</v>
      </c>
      <c r="C20" s="37" t="s">
        <v>152</v>
      </c>
      <c r="D20" s="32" t="s">
        <v>153</v>
      </c>
      <c r="E20" s="35" t="s">
        <v>21</v>
      </c>
      <c r="F20" s="32"/>
      <c r="G20" s="32"/>
    </row>
    <row r="21" spans="2:7" ht="21.75" customHeight="1" x14ac:dyDescent="0.3">
      <c r="B21" s="48" t="s">
        <v>154</v>
      </c>
      <c r="C21" s="48"/>
      <c r="D21" s="48"/>
      <c r="E21" s="48"/>
      <c r="F21" s="48"/>
      <c r="G21" s="48"/>
    </row>
    <row r="22" spans="2:7" ht="33.75" customHeight="1" x14ac:dyDescent="0.3">
      <c r="B22" s="35">
        <v>12</v>
      </c>
      <c r="C22" s="37" t="s">
        <v>155</v>
      </c>
      <c r="D22" s="32" t="s">
        <v>156</v>
      </c>
      <c r="E22" s="35" t="s">
        <v>21</v>
      </c>
      <c r="F22" s="32"/>
      <c r="G22" s="32"/>
    </row>
    <row r="23" spans="2:7" ht="33.75" customHeight="1" x14ac:dyDescent="0.3">
      <c r="B23" s="35">
        <v>13</v>
      </c>
      <c r="C23" s="37" t="s">
        <v>157</v>
      </c>
      <c r="D23" s="32" t="s">
        <v>158</v>
      </c>
      <c r="E23" s="35" t="s">
        <v>21</v>
      </c>
      <c r="F23" s="32"/>
      <c r="G23" s="32"/>
    </row>
    <row r="24" spans="2:7" ht="33.75" customHeight="1" x14ac:dyDescent="0.3">
      <c r="B24" s="35">
        <v>14</v>
      </c>
      <c r="C24" s="37" t="s">
        <v>159</v>
      </c>
      <c r="D24" s="32" t="s">
        <v>160</v>
      </c>
      <c r="E24" s="35" t="s">
        <v>21</v>
      </c>
      <c r="F24" s="32"/>
      <c r="G24" s="32"/>
    </row>
    <row r="25" spans="2:7" ht="33.75" customHeight="1" x14ac:dyDescent="0.3">
      <c r="B25" s="35">
        <v>15</v>
      </c>
      <c r="C25" s="37" t="s">
        <v>161</v>
      </c>
      <c r="D25" s="32" t="s">
        <v>162</v>
      </c>
      <c r="E25" s="35" t="s">
        <v>21</v>
      </c>
      <c r="F25" s="32"/>
      <c r="G25" s="32"/>
    </row>
    <row r="26" spans="2:7" ht="33.75" customHeight="1" x14ac:dyDescent="0.3">
      <c r="B26" s="35">
        <v>16</v>
      </c>
      <c r="C26" s="37" t="s">
        <v>163</v>
      </c>
      <c r="D26" s="32" t="s">
        <v>164</v>
      </c>
      <c r="E26" s="35" t="s">
        <v>21</v>
      </c>
      <c r="F26" s="32"/>
      <c r="G26" s="32"/>
    </row>
    <row r="27" spans="2:7" ht="21.75" customHeight="1" x14ac:dyDescent="0.3">
      <c r="B27" s="49" t="s">
        <v>165</v>
      </c>
      <c r="C27" s="49"/>
      <c r="D27" s="49"/>
      <c r="E27" s="49"/>
      <c r="F27" s="49"/>
      <c r="G27" s="49"/>
    </row>
    <row r="28" spans="2:7" ht="33.75" customHeight="1" x14ac:dyDescent="0.3">
      <c r="B28" s="35">
        <v>17</v>
      </c>
      <c r="C28" s="37" t="s">
        <v>166</v>
      </c>
      <c r="D28" s="32" t="s">
        <v>167</v>
      </c>
      <c r="E28" s="35" t="s">
        <v>21</v>
      </c>
      <c r="F28" s="32"/>
      <c r="G28" s="32"/>
    </row>
    <row r="29" spans="2:7" ht="33.75" customHeight="1" x14ac:dyDescent="0.3">
      <c r="B29" s="35">
        <v>18</v>
      </c>
      <c r="C29" s="37" t="s">
        <v>168</v>
      </c>
      <c r="D29" s="32" t="s">
        <v>169</v>
      </c>
      <c r="E29" s="35" t="s">
        <v>25</v>
      </c>
      <c r="F29" s="32" t="s">
        <v>200</v>
      </c>
      <c r="G29" s="32" t="s">
        <v>201</v>
      </c>
    </row>
    <row r="30" spans="2:7" ht="33.75" customHeight="1" x14ac:dyDescent="0.3">
      <c r="B30" s="35">
        <v>19</v>
      </c>
      <c r="C30" s="37" t="s">
        <v>170</v>
      </c>
      <c r="D30" s="32" t="s">
        <v>171</v>
      </c>
      <c r="E30" s="35" t="s">
        <v>21</v>
      </c>
      <c r="F30" s="32"/>
      <c r="G30" s="32"/>
    </row>
    <row r="31" spans="2:7" ht="33.75" customHeight="1" x14ac:dyDescent="0.3">
      <c r="B31" s="35">
        <v>20</v>
      </c>
      <c r="C31" s="37" t="s">
        <v>174</v>
      </c>
      <c r="D31" s="32" t="s">
        <v>175</v>
      </c>
      <c r="E31" s="35" t="s">
        <v>21</v>
      </c>
      <c r="F31" s="32"/>
      <c r="G31" s="32"/>
    </row>
    <row r="32" spans="2:7" ht="33.75" customHeight="1" x14ac:dyDescent="0.3">
      <c r="B32" s="35">
        <v>21</v>
      </c>
      <c r="C32" s="37" t="s">
        <v>176</v>
      </c>
      <c r="D32" s="32" t="s">
        <v>177</v>
      </c>
      <c r="E32" s="35" t="s">
        <v>21</v>
      </c>
      <c r="F32" s="32"/>
      <c r="G32" s="32"/>
    </row>
    <row r="33" spans="2:7" ht="33.75" customHeight="1" x14ac:dyDescent="0.3">
      <c r="B33" s="35">
        <v>22</v>
      </c>
      <c r="C33" s="37" t="s">
        <v>178</v>
      </c>
      <c r="D33" s="32" t="s">
        <v>179</v>
      </c>
      <c r="E33" s="35" t="s">
        <v>21</v>
      </c>
      <c r="F33" s="32"/>
      <c r="G33" s="32"/>
    </row>
    <row r="35" spans="2:7" ht="15" customHeight="1" x14ac:dyDescent="0.3">
      <c r="B35" s="44" t="s">
        <v>180</v>
      </c>
      <c r="C35" s="44"/>
      <c r="D35" s="38">
        <f>COUNTIF(E8:E33,"✗ No cumple")</f>
        <v>0</v>
      </c>
    </row>
    <row r="36" spans="2:7" ht="15" customHeight="1" x14ac:dyDescent="0.3">
      <c r="B36" s="44" t="s">
        <v>181</v>
      </c>
      <c r="C36" s="44"/>
      <c r="D36" s="39">
        <f>COUNTIF(E8:E33,"⚠ Revisar")</f>
        <v>2</v>
      </c>
    </row>
    <row r="37" spans="2:7" ht="24" customHeight="1" x14ac:dyDescent="0.3">
      <c r="B37" s="50" t="s">
        <v>182</v>
      </c>
      <c r="C37" s="50"/>
      <c r="D37" s="51" t="str">
        <f>IF(D35&gt;0,"RECHAZADA - corregir ambigüedades críticas",IF(D36&gt;0,"APROBADA CON OBSERVACIONES - aclarar pendientes","APROBADA - lista para BDD"))</f>
        <v>APROBADA CON OBSERVACIONES - aclarar pendientes</v>
      </c>
      <c r="E37" s="51"/>
      <c r="F37" s="51"/>
      <c r="G37" s="51"/>
    </row>
  </sheetData>
  <mergeCells count="13">
    <mergeCell ref="B36:C36"/>
    <mergeCell ref="B37:C37"/>
    <mergeCell ref="D37:G37"/>
    <mergeCell ref="B8:G8"/>
    <mergeCell ref="B14:G14"/>
    <mergeCell ref="B21:G21"/>
    <mergeCell ref="B27:G27"/>
    <mergeCell ref="B35:C35"/>
    <mergeCell ref="B2:G2"/>
    <mergeCell ref="B3:C3"/>
    <mergeCell ref="E3:F3"/>
    <mergeCell ref="B4:G4"/>
    <mergeCell ref="B5:G5"/>
  </mergeCells>
  <dataValidations count="1">
    <dataValidation type="list" allowBlank="1" sqref="E9:E13 E15:E20 E22:E26 E28:E33" xr:uid="{00000000-0002-0000-0A00-000000000000}">
      <formula1>"✓ Cumple,✗ No cumple,⚠ Revisar,N/A"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G37"/>
  <sheetViews>
    <sheetView zoomScaleNormal="100" workbookViewId="0"/>
  </sheetViews>
  <sheetFormatPr baseColWidth="10" defaultColWidth="8.6640625" defaultRowHeight="14.4" x14ac:dyDescent="0.3"/>
  <cols>
    <col min="1" max="1" width="3" customWidth="1"/>
    <col min="2" max="2" width="6" customWidth="1"/>
    <col min="3" max="3" width="30" customWidth="1"/>
    <col min="4" max="4" width="50" customWidth="1"/>
    <col min="5" max="5" width="14" customWidth="1"/>
    <col min="6" max="6" width="30" customWidth="1"/>
    <col min="7" max="7" width="34" customWidth="1"/>
  </cols>
  <sheetData>
    <row r="2" spans="2:7" ht="33.75" customHeight="1" x14ac:dyDescent="0.3">
      <c r="B2" s="11" t="s">
        <v>120</v>
      </c>
      <c r="C2" s="11"/>
      <c r="D2" s="11"/>
      <c r="E2" s="11"/>
      <c r="F2" s="11"/>
      <c r="G2" s="11"/>
    </row>
    <row r="3" spans="2:7" ht="15" customHeight="1" x14ac:dyDescent="0.3">
      <c r="B3" s="44" t="s">
        <v>107</v>
      </c>
      <c r="C3" s="44"/>
      <c r="D3" s="36"/>
      <c r="E3" s="44" t="s">
        <v>121</v>
      </c>
      <c r="F3" s="44"/>
      <c r="G3" s="36"/>
    </row>
    <row r="4" spans="2:7" ht="15" customHeight="1" x14ac:dyDescent="0.3">
      <c r="B4" s="44" t="s">
        <v>108</v>
      </c>
      <c r="C4" s="44"/>
      <c r="D4" s="44"/>
      <c r="E4" s="44"/>
      <c r="F4" s="44"/>
      <c r="G4" s="44"/>
    </row>
    <row r="5" spans="2:7" ht="30" customHeight="1" x14ac:dyDescent="0.3">
      <c r="B5" s="45"/>
      <c r="C5" s="45"/>
      <c r="D5" s="45"/>
      <c r="E5" s="45"/>
      <c r="F5" s="45"/>
      <c r="G5" s="45"/>
    </row>
    <row r="7" spans="2:7" ht="24" customHeight="1" x14ac:dyDescent="0.3">
      <c r="B7" s="29" t="s">
        <v>122</v>
      </c>
      <c r="C7" s="29" t="s">
        <v>123</v>
      </c>
      <c r="D7" s="29" t="s">
        <v>124</v>
      </c>
      <c r="E7" s="29" t="s">
        <v>125</v>
      </c>
      <c r="F7" s="29" t="s">
        <v>126</v>
      </c>
      <c r="G7" s="29" t="s">
        <v>127</v>
      </c>
    </row>
    <row r="8" spans="2:7" ht="21.75" customHeight="1" x14ac:dyDescent="0.3">
      <c r="B8" s="46" t="s">
        <v>128</v>
      </c>
      <c r="C8" s="46"/>
      <c r="D8" s="46"/>
      <c r="E8" s="46"/>
      <c r="F8" s="46"/>
      <c r="G8" s="46"/>
    </row>
    <row r="9" spans="2:7" ht="33.75" customHeight="1" x14ac:dyDescent="0.3">
      <c r="B9" s="35">
        <v>1</v>
      </c>
      <c r="C9" s="37" t="s">
        <v>129</v>
      </c>
      <c r="D9" s="32" t="s">
        <v>130</v>
      </c>
      <c r="E9" s="35" t="s">
        <v>21</v>
      </c>
      <c r="F9" s="32"/>
      <c r="G9" s="32"/>
    </row>
    <row r="10" spans="2:7" ht="33.75" customHeight="1" x14ac:dyDescent="0.3">
      <c r="B10" s="35">
        <v>2</v>
      </c>
      <c r="C10" s="37" t="s">
        <v>131</v>
      </c>
      <c r="D10" s="32" t="s">
        <v>132</v>
      </c>
      <c r="E10" s="35" t="s">
        <v>21</v>
      </c>
      <c r="F10" s="32"/>
      <c r="G10" s="32"/>
    </row>
    <row r="11" spans="2:7" ht="33.75" customHeight="1" x14ac:dyDescent="0.3">
      <c r="B11" s="35">
        <v>3</v>
      </c>
      <c r="C11" s="37" t="s">
        <v>133</v>
      </c>
      <c r="D11" s="32" t="s">
        <v>134</v>
      </c>
      <c r="E11" s="35" t="s">
        <v>21</v>
      </c>
      <c r="F11" s="32"/>
      <c r="G11" s="32"/>
    </row>
    <row r="12" spans="2:7" ht="33.75" customHeight="1" x14ac:dyDescent="0.3">
      <c r="B12" s="35">
        <v>4</v>
      </c>
      <c r="C12" s="37" t="s">
        <v>135</v>
      </c>
      <c r="D12" s="32" t="s">
        <v>136</v>
      </c>
      <c r="E12" s="35" t="s">
        <v>21</v>
      </c>
      <c r="F12" s="32"/>
      <c r="G12" s="32"/>
    </row>
    <row r="13" spans="2:7" ht="33.75" customHeight="1" x14ac:dyDescent="0.3">
      <c r="B13" s="35">
        <v>5</v>
      </c>
      <c r="C13" s="37" t="s">
        <v>137</v>
      </c>
      <c r="D13" s="32" t="s">
        <v>138</v>
      </c>
      <c r="E13" s="35" t="s">
        <v>21</v>
      </c>
      <c r="F13" s="32"/>
      <c r="G13" s="32"/>
    </row>
    <row r="14" spans="2:7" ht="21.75" customHeight="1" x14ac:dyDescent="0.3">
      <c r="B14" s="47" t="s">
        <v>139</v>
      </c>
      <c r="C14" s="47"/>
      <c r="D14" s="47"/>
      <c r="E14" s="47"/>
      <c r="F14" s="47"/>
      <c r="G14" s="47"/>
    </row>
    <row r="15" spans="2:7" ht="33.75" customHeight="1" x14ac:dyDescent="0.3">
      <c r="B15" s="35">
        <v>6</v>
      </c>
      <c r="C15" s="37" t="s">
        <v>140</v>
      </c>
      <c r="D15" s="32" t="s">
        <v>141</v>
      </c>
      <c r="E15" s="35" t="s">
        <v>21</v>
      </c>
      <c r="F15" s="32"/>
      <c r="G15" s="32"/>
    </row>
    <row r="16" spans="2:7" ht="33.75" customHeight="1" x14ac:dyDescent="0.3">
      <c r="B16" s="35">
        <v>7</v>
      </c>
      <c r="C16" s="37" t="s">
        <v>142</v>
      </c>
      <c r="D16" s="32" t="s">
        <v>143</v>
      </c>
      <c r="E16" s="35" t="s">
        <v>21</v>
      </c>
      <c r="F16" s="32"/>
      <c r="G16" s="32"/>
    </row>
    <row r="17" spans="2:7" ht="33.75" customHeight="1" x14ac:dyDescent="0.3">
      <c r="B17" s="35">
        <v>8</v>
      </c>
      <c r="C17" s="37" t="s">
        <v>144</v>
      </c>
      <c r="D17" s="32" t="s">
        <v>145</v>
      </c>
      <c r="E17" s="35" t="s">
        <v>21</v>
      </c>
      <c r="F17" s="32"/>
      <c r="G17" s="32"/>
    </row>
    <row r="18" spans="2:7" ht="33.75" customHeight="1" x14ac:dyDescent="0.3">
      <c r="B18" s="35">
        <v>9</v>
      </c>
      <c r="C18" s="37" t="s">
        <v>146</v>
      </c>
      <c r="D18" s="32" t="s">
        <v>147</v>
      </c>
      <c r="E18" s="35" t="s">
        <v>21</v>
      </c>
      <c r="F18" s="32"/>
      <c r="G18" s="32"/>
    </row>
    <row r="19" spans="2:7" ht="33.75" customHeight="1" x14ac:dyDescent="0.3">
      <c r="B19" s="35">
        <v>10</v>
      </c>
      <c r="C19" s="37" t="s">
        <v>150</v>
      </c>
      <c r="D19" s="32" t="s">
        <v>151</v>
      </c>
      <c r="E19" s="35" t="s">
        <v>21</v>
      </c>
      <c r="F19" s="32"/>
      <c r="G19" s="32"/>
    </row>
    <row r="20" spans="2:7" ht="33.75" customHeight="1" x14ac:dyDescent="0.3">
      <c r="B20" s="35">
        <v>11</v>
      </c>
      <c r="C20" s="37" t="s">
        <v>152</v>
      </c>
      <c r="D20" s="32" t="s">
        <v>153</v>
      </c>
      <c r="E20" s="35" t="s">
        <v>21</v>
      </c>
      <c r="F20" s="32"/>
      <c r="G20" s="32"/>
    </row>
    <row r="21" spans="2:7" ht="21.75" customHeight="1" x14ac:dyDescent="0.3">
      <c r="B21" s="48" t="s">
        <v>154</v>
      </c>
      <c r="C21" s="48"/>
      <c r="D21" s="48"/>
      <c r="E21" s="48"/>
      <c r="F21" s="48"/>
      <c r="G21" s="48"/>
    </row>
    <row r="22" spans="2:7" ht="33.75" customHeight="1" x14ac:dyDescent="0.3">
      <c r="B22" s="35">
        <v>12</v>
      </c>
      <c r="C22" s="37" t="s">
        <v>155</v>
      </c>
      <c r="D22" s="32" t="s">
        <v>156</v>
      </c>
      <c r="E22" s="35" t="s">
        <v>21</v>
      </c>
      <c r="F22" s="32"/>
      <c r="G22" s="32"/>
    </row>
    <row r="23" spans="2:7" ht="33.75" customHeight="1" x14ac:dyDescent="0.3">
      <c r="B23" s="35">
        <v>13</v>
      </c>
      <c r="C23" s="37" t="s">
        <v>157</v>
      </c>
      <c r="D23" s="32" t="s">
        <v>158</v>
      </c>
      <c r="E23" s="35" t="s">
        <v>21</v>
      </c>
      <c r="F23" s="32"/>
      <c r="G23" s="32"/>
    </row>
    <row r="24" spans="2:7" ht="33.75" customHeight="1" x14ac:dyDescent="0.3">
      <c r="B24" s="35">
        <v>14</v>
      </c>
      <c r="C24" s="37" t="s">
        <v>159</v>
      </c>
      <c r="D24" s="32" t="s">
        <v>160</v>
      </c>
      <c r="E24" s="35" t="s">
        <v>21</v>
      </c>
      <c r="F24" s="32"/>
      <c r="G24" s="32"/>
    </row>
    <row r="25" spans="2:7" ht="33.75" customHeight="1" x14ac:dyDescent="0.3">
      <c r="B25" s="35">
        <v>15</v>
      </c>
      <c r="C25" s="37" t="s">
        <v>161</v>
      </c>
      <c r="D25" s="32" t="s">
        <v>162</v>
      </c>
      <c r="E25" s="35" t="s">
        <v>21</v>
      </c>
      <c r="F25" s="32"/>
      <c r="G25" s="32"/>
    </row>
    <row r="26" spans="2:7" ht="33.75" customHeight="1" x14ac:dyDescent="0.3">
      <c r="B26" s="35">
        <v>16</v>
      </c>
      <c r="C26" s="37" t="s">
        <v>163</v>
      </c>
      <c r="D26" s="32" t="s">
        <v>164</v>
      </c>
      <c r="E26" s="35" t="s">
        <v>21</v>
      </c>
      <c r="F26" s="32"/>
      <c r="G26" s="32"/>
    </row>
    <row r="27" spans="2:7" ht="21.75" customHeight="1" x14ac:dyDescent="0.3">
      <c r="B27" s="49" t="s">
        <v>165</v>
      </c>
      <c r="C27" s="49"/>
      <c r="D27" s="49"/>
      <c r="E27" s="49"/>
      <c r="F27" s="49"/>
      <c r="G27" s="49"/>
    </row>
    <row r="28" spans="2:7" ht="33.75" customHeight="1" x14ac:dyDescent="0.3">
      <c r="B28" s="35">
        <v>17</v>
      </c>
      <c r="C28" s="37" t="s">
        <v>166</v>
      </c>
      <c r="D28" s="32" t="s">
        <v>167</v>
      </c>
      <c r="E28" s="35" t="s">
        <v>21</v>
      </c>
      <c r="F28" s="32"/>
      <c r="G28" s="32"/>
    </row>
    <row r="29" spans="2:7" ht="33.75" customHeight="1" x14ac:dyDescent="0.3">
      <c r="B29" s="35">
        <v>18</v>
      </c>
      <c r="C29" s="37" t="s">
        <v>168</v>
      </c>
      <c r="D29" s="32" t="s">
        <v>169</v>
      </c>
      <c r="E29" s="35" t="s">
        <v>21</v>
      </c>
      <c r="F29" s="32"/>
      <c r="G29" s="32"/>
    </row>
    <row r="30" spans="2:7" ht="33.75" customHeight="1" x14ac:dyDescent="0.3">
      <c r="B30" s="35">
        <v>19</v>
      </c>
      <c r="C30" s="37" t="s">
        <v>170</v>
      </c>
      <c r="D30" s="32" t="s">
        <v>171</v>
      </c>
      <c r="E30" s="35" t="s">
        <v>23</v>
      </c>
      <c r="F30" s="32" t="s">
        <v>109</v>
      </c>
      <c r="G30" s="32" t="s">
        <v>202</v>
      </c>
    </row>
    <row r="31" spans="2:7" ht="33.75" customHeight="1" x14ac:dyDescent="0.3">
      <c r="B31" s="35">
        <v>20</v>
      </c>
      <c r="C31" s="37" t="s">
        <v>174</v>
      </c>
      <c r="D31" s="32" t="s">
        <v>175</v>
      </c>
      <c r="E31" s="35" t="s">
        <v>21</v>
      </c>
      <c r="F31" s="32"/>
      <c r="G31" s="32"/>
    </row>
    <row r="32" spans="2:7" ht="33.75" customHeight="1" x14ac:dyDescent="0.3">
      <c r="B32" s="35">
        <v>21</v>
      </c>
      <c r="C32" s="37" t="s">
        <v>176</v>
      </c>
      <c r="D32" s="32" t="s">
        <v>177</v>
      </c>
      <c r="E32" s="35" t="s">
        <v>21</v>
      </c>
      <c r="F32" s="32"/>
      <c r="G32" s="32"/>
    </row>
    <row r="33" spans="2:7" ht="33.75" customHeight="1" x14ac:dyDescent="0.3">
      <c r="B33" s="35">
        <v>22</v>
      </c>
      <c r="C33" s="37" t="s">
        <v>178</v>
      </c>
      <c r="D33" s="32" t="s">
        <v>179</v>
      </c>
      <c r="E33" s="35" t="s">
        <v>21</v>
      </c>
      <c r="F33" s="32"/>
      <c r="G33" s="32"/>
    </row>
    <row r="35" spans="2:7" ht="15" customHeight="1" x14ac:dyDescent="0.3">
      <c r="B35" s="44" t="s">
        <v>180</v>
      </c>
      <c r="C35" s="44"/>
      <c r="D35" s="38">
        <f>COUNTIF(E8:E33,"✗ No cumple")</f>
        <v>1</v>
      </c>
    </row>
    <row r="36" spans="2:7" ht="15" customHeight="1" x14ac:dyDescent="0.3">
      <c r="B36" s="44" t="s">
        <v>181</v>
      </c>
      <c r="C36" s="44"/>
      <c r="D36" s="39">
        <f>COUNTIF(E8:E33,"⚠ Revisar")</f>
        <v>0</v>
      </c>
    </row>
    <row r="37" spans="2:7" ht="24" customHeight="1" x14ac:dyDescent="0.3">
      <c r="B37" s="50" t="s">
        <v>182</v>
      </c>
      <c r="C37" s="50"/>
      <c r="D37" s="51" t="str">
        <f>IF(D35&gt;0,"RECHAZADA - corregir ambigüedades críticas",IF(D36&gt;0,"APROBADA CON OBSERVACIONES - aclarar pendientes","APROBADA - lista para BDD"))</f>
        <v>RECHAZADA - corregir ambigüedades críticas</v>
      </c>
      <c r="E37" s="51"/>
      <c r="F37" s="51"/>
      <c r="G37" s="51"/>
    </row>
  </sheetData>
  <mergeCells count="13">
    <mergeCell ref="B36:C36"/>
    <mergeCell ref="B37:C37"/>
    <mergeCell ref="D37:G37"/>
    <mergeCell ref="B8:G8"/>
    <mergeCell ref="B14:G14"/>
    <mergeCell ref="B21:G21"/>
    <mergeCell ref="B27:G27"/>
    <mergeCell ref="B35:C35"/>
    <mergeCell ref="B2:G2"/>
    <mergeCell ref="B3:C3"/>
    <mergeCell ref="E3:F3"/>
    <mergeCell ref="B4:G4"/>
    <mergeCell ref="B5:G5"/>
  </mergeCells>
  <dataValidations count="1">
    <dataValidation type="list" allowBlank="1" sqref="E9:E13 E15:E20 E22:E26 E28:E33" xr:uid="{00000000-0002-0000-0B00-000000000000}">
      <formula1>"✓ Cumple,✗ No cumple,⚠ Revisar,N/A"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G37"/>
  <sheetViews>
    <sheetView zoomScaleNormal="100" workbookViewId="0"/>
  </sheetViews>
  <sheetFormatPr baseColWidth="10" defaultColWidth="8.6640625" defaultRowHeight="14.4" x14ac:dyDescent="0.3"/>
  <cols>
    <col min="1" max="1" width="3" customWidth="1"/>
    <col min="2" max="2" width="6" customWidth="1"/>
    <col min="3" max="3" width="30" customWidth="1"/>
    <col min="4" max="4" width="50" customWidth="1"/>
    <col min="5" max="5" width="14" customWidth="1"/>
    <col min="6" max="6" width="30" customWidth="1"/>
    <col min="7" max="7" width="34" customWidth="1"/>
  </cols>
  <sheetData>
    <row r="2" spans="2:7" ht="33.75" customHeight="1" x14ac:dyDescent="0.3">
      <c r="B2" s="11" t="s">
        <v>120</v>
      </c>
      <c r="C2" s="11"/>
      <c r="D2" s="11"/>
      <c r="E2" s="11"/>
      <c r="F2" s="11"/>
      <c r="G2" s="11"/>
    </row>
    <row r="3" spans="2:7" ht="15" customHeight="1" x14ac:dyDescent="0.3">
      <c r="B3" s="44" t="s">
        <v>110</v>
      </c>
      <c r="C3" s="44"/>
      <c r="D3" s="36"/>
      <c r="E3" s="44" t="s">
        <v>121</v>
      </c>
      <c r="F3" s="44"/>
      <c r="G3" s="36"/>
    </row>
    <row r="4" spans="2:7" ht="15" customHeight="1" x14ac:dyDescent="0.3">
      <c r="B4" s="44" t="s">
        <v>111</v>
      </c>
      <c r="C4" s="44"/>
      <c r="D4" s="44"/>
      <c r="E4" s="44"/>
      <c r="F4" s="44"/>
      <c r="G4" s="44"/>
    </row>
    <row r="5" spans="2:7" ht="30" customHeight="1" x14ac:dyDescent="0.3">
      <c r="B5" s="45"/>
      <c r="C5" s="45"/>
      <c r="D5" s="45"/>
      <c r="E5" s="45"/>
      <c r="F5" s="45"/>
      <c r="G5" s="45"/>
    </row>
    <row r="7" spans="2:7" ht="24" customHeight="1" x14ac:dyDescent="0.3">
      <c r="B7" s="29" t="s">
        <v>122</v>
      </c>
      <c r="C7" s="29" t="s">
        <v>123</v>
      </c>
      <c r="D7" s="29" t="s">
        <v>124</v>
      </c>
      <c r="E7" s="29" t="s">
        <v>125</v>
      </c>
      <c r="F7" s="29" t="s">
        <v>126</v>
      </c>
      <c r="G7" s="29" t="s">
        <v>127</v>
      </c>
    </row>
    <row r="8" spans="2:7" ht="21.75" customHeight="1" x14ac:dyDescent="0.3">
      <c r="B8" s="46" t="s">
        <v>128</v>
      </c>
      <c r="C8" s="46"/>
      <c r="D8" s="46"/>
      <c r="E8" s="46"/>
      <c r="F8" s="46"/>
      <c r="G8" s="46"/>
    </row>
    <row r="9" spans="2:7" ht="33.75" customHeight="1" x14ac:dyDescent="0.3">
      <c r="B9" s="35">
        <v>1</v>
      </c>
      <c r="C9" s="37" t="s">
        <v>129</v>
      </c>
      <c r="D9" s="32" t="s">
        <v>130</v>
      </c>
      <c r="E9" s="35" t="s">
        <v>21</v>
      </c>
      <c r="F9" s="32"/>
      <c r="G9" s="32"/>
    </row>
    <row r="10" spans="2:7" ht="33.75" customHeight="1" x14ac:dyDescent="0.3">
      <c r="B10" s="35">
        <v>2</v>
      </c>
      <c r="C10" s="37" t="s">
        <v>131</v>
      </c>
      <c r="D10" s="32" t="s">
        <v>132</v>
      </c>
      <c r="E10" s="35" t="s">
        <v>21</v>
      </c>
      <c r="F10" s="32"/>
      <c r="G10" s="32"/>
    </row>
    <row r="11" spans="2:7" ht="33.75" customHeight="1" x14ac:dyDescent="0.3">
      <c r="B11" s="35">
        <v>3</v>
      </c>
      <c r="C11" s="37" t="s">
        <v>133</v>
      </c>
      <c r="D11" s="32" t="s">
        <v>134</v>
      </c>
      <c r="E11" s="35" t="s">
        <v>21</v>
      </c>
      <c r="F11" s="32"/>
      <c r="G11" s="32"/>
    </row>
    <row r="12" spans="2:7" ht="33.75" customHeight="1" x14ac:dyDescent="0.3">
      <c r="B12" s="35">
        <v>4</v>
      </c>
      <c r="C12" s="37" t="s">
        <v>135</v>
      </c>
      <c r="D12" s="32" t="s">
        <v>136</v>
      </c>
      <c r="E12" s="35" t="s">
        <v>21</v>
      </c>
      <c r="F12" s="32"/>
      <c r="G12" s="32"/>
    </row>
    <row r="13" spans="2:7" ht="33.75" customHeight="1" x14ac:dyDescent="0.3">
      <c r="B13" s="35">
        <v>5</v>
      </c>
      <c r="C13" s="37" t="s">
        <v>137</v>
      </c>
      <c r="D13" s="32" t="s">
        <v>138</v>
      </c>
      <c r="E13" s="35" t="s">
        <v>21</v>
      </c>
      <c r="F13" s="32"/>
      <c r="G13" s="32"/>
    </row>
    <row r="14" spans="2:7" ht="21.75" customHeight="1" x14ac:dyDescent="0.3">
      <c r="B14" s="47" t="s">
        <v>139</v>
      </c>
      <c r="C14" s="47"/>
      <c r="D14" s="47"/>
      <c r="E14" s="47"/>
      <c r="F14" s="47"/>
      <c r="G14" s="47"/>
    </row>
    <row r="15" spans="2:7" ht="33.75" customHeight="1" x14ac:dyDescent="0.3">
      <c r="B15" s="35">
        <v>6</v>
      </c>
      <c r="C15" s="37" t="s">
        <v>140</v>
      </c>
      <c r="D15" s="32" t="s">
        <v>141</v>
      </c>
      <c r="E15" s="35" t="s">
        <v>23</v>
      </c>
      <c r="F15" s="32" t="s">
        <v>112</v>
      </c>
      <c r="G15" s="32" t="s">
        <v>203</v>
      </c>
    </row>
    <row r="16" spans="2:7" ht="33.75" customHeight="1" x14ac:dyDescent="0.3">
      <c r="B16" s="35">
        <v>7</v>
      </c>
      <c r="C16" s="37" t="s">
        <v>142</v>
      </c>
      <c r="D16" s="32" t="s">
        <v>143</v>
      </c>
      <c r="E16" s="35" t="s">
        <v>21</v>
      </c>
      <c r="F16" s="32"/>
      <c r="G16" s="32"/>
    </row>
    <row r="17" spans="2:7" ht="33.75" customHeight="1" x14ac:dyDescent="0.3">
      <c r="B17" s="35">
        <v>8</v>
      </c>
      <c r="C17" s="37" t="s">
        <v>144</v>
      </c>
      <c r="D17" s="32" t="s">
        <v>145</v>
      </c>
      <c r="E17" s="35" t="s">
        <v>21</v>
      </c>
      <c r="F17" s="32"/>
      <c r="G17" s="32"/>
    </row>
    <row r="18" spans="2:7" ht="33.75" customHeight="1" x14ac:dyDescent="0.3">
      <c r="B18" s="35">
        <v>9</v>
      </c>
      <c r="C18" s="37" t="s">
        <v>146</v>
      </c>
      <c r="D18" s="32" t="s">
        <v>147</v>
      </c>
      <c r="E18" s="35" t="s">
        <v>21</v>
      </c>
      <c r="F18" s="32"/>
      <c r="G18" s="32"/>
    </row>
    <row r="19" spans="2:7" ht="33.75" customHeight="1" x14ac:dyDescent="0.3">
      <c r="B19" s="35">
        <v>10</v>
      </c>
      <c r="C19" s="37" t="s">
        <v>150</v>
      </c>
      <c r="D19" s="32" t="s">
        <v>151</v>
      </c>
      <c r="E19" s="35" t="s">
        <v>21</v>
      </c>
      <c r="F19" s="32"/>
      <c r="G19" s="32"/>
    </row>
    <row r="20" spans="2:7" ht="33.75" customHeight="1" x14ac:dyDescent="0.3">
      <c r="B20" s="35">
        <v>11</v>
      </c>
      <c r="C20" s="37" t="s">
        <v>152</v>
      </c>
      <c r="D20" s="32" t="s">
        <v>153</v>
      </c>
      <c r="E20" s="35" t="s">
        <v>21</v>
      </c>
      <c r="F20" s="32"/>
      <c r="G20" s="32"/>
    </row>
    <row r="21" spans="2:7" ht="21.75" customHeight="1" x14ac:dyDescent="0.3">
      <c r="B21" s="48" t="s">
        <v>154</v>
      </c>
      <c r="C21" s="48"/>
      <c r="D21" s="48"/>
      <c r="E21" s="48"/>
      <c r="F21" s="48"/>
      <c r="G21" s="48"/>
    </row>
    <row r="22" spans="2:7" ht="33.75" customHeight="1" x14ac:dyDescent="0.3">
      <c r="B22" s="35">
        <v>12</v>
      </c>
      <c r="C22" s="37" t="s">
        <v>155</v>
      </c>
      <c r="D22" s="32" t="s">
        <v>156</v>
      </c>
      <c r="E22" s="35" t="s">
        <v>21</v>
      </c>
      <c r="F22" s="32"/>
      <c r="G22" s="32"/>
    </row>
    <row r="23" spans="2:7" ht="33.75" customHeight="1" x14ac:dyDescent="0.3">
      <c r="B23" s="35">
        <v>13</v>
      </c>
      <c r="C23" s="37" t="s">
        <v>157</v>
      </c>
      <c r="D23" s="32" t="s">
        <v>158</v>
      </c>
      <c r="E23" s="35" t="s">
        <v>21</v>
      </c>
      <c r="F23" s="32"/>
      <c r="G23" s="32"/>
    </row>
    <row r="24" spans="2:7" ht="33.75" customHeight="1" x14ac:dyDescent="0.3">
      <c r="B24" s="35">
        <v>14</v>
      </c>
      <c r="C24" s="37" t="s">
        <v>159</v>
      </c>
      <c r="D24" s="32" t="s">
        <v>160</v>
      </c>
      <c r="E24" s="35" t="s">
        <v>21</v>
      </c>
      <c r="F24" s="32"/>
      <c r="G24" s="32"/>
    </row>
    <row r="25" spans="2:7" ht="33.75" customHeight="1" x14ac:dyDescent="0.3">
      <c r="B25" s="35">
        <v>15</v>
      </c>
      <c r="C25" s="37" t="s">
        <v>161</v>
      </c>
      <c r="D25" s="32" t="s">
        <v>162</v>
      </c>
      <c r="E25" s="35" t="s">
        <v>21</v>
      </c>
      <c r="F25" s="32"/>
      <c r="G25" s="32"/>
    </row>
    <row r="26" spans="2:7" ht="33.75" customHeight="1" x14ac:dyDescent="0.3">
      <c r="B26" s="35">
        <v>16</v>
      </c>
      <c r="C26" s="37" t="s">
        <v>163</v>
      </c>
      <c r="D26" s="32" t="s">
        <v>164</v>
      </c>
      <c r="E26" s="35" t="s">
        <v>25</v>
      </c>
      <c r="F26" s="32" t="s">
        <v>204</v>
      </c>
      <c r="G26" s="32" t="s">
        <v>205</v>
      </c>
    </row>
    <row r="27" spans="2:7" ht="21.75" customHeight="1" x14ac:dyDescent="0.3">
      <c r="B27" s="49" t="s">
        <v>165</v>
      </c>
      <c r="C27" s="49"/>
      <c r="D27" s="49"/>
      <c r="E27" s="49"/>
      <c r="F27" s="49"/>
      <c r="G27" s="49"/>
    </row>
    <row r="28" spans="2:7" ht="33.75" customHeight="1" x14ac:dyDescent="0.3">
      <c r="B28" s="35">
        <v>17</v>
      </c>
      <c r="C28" s="37" t="s">
        <v>166</v>
      </c>
      <c r="D28" s="32" t="s">
        <v>167</v>
      </c>
      <c r="E28" s="35" t="s">
        <v>21</v>
      </c>
      <c r="F28" s="32"/>
      <c r="G28" s="32"/>
    </row>
    <row r="29" spans="2:7" ht="33.75" customHeight="1" x14ac:dyDescent="0.3">
      <c r="B29" s="35">
        <v>18</v>
      </c>
      <c r="C29" s="37" t="s">
        <v>168</v>
      </c>
      <c r="D29" s="32" t="s">
        <v>169</v>
      </c>
      <c r="E29" s="35" t="s">
        <v>21</v>
      </c>
      <c r="F29" s="32"/>
      <c r="G29" s="32"/>
    </row>
    <row r="30" spans="2:7" ht="33.75" customHeight="1" x14ac:dyDescent="0.3">
      <c r="B30" s="35">
        <v>19</v>
      </c>
      <c r="C30" s="37" t="s">
        <v>170</v>
      </c>
      <c r="D30" s="32" t="s">
        <v>171</v>
      </c>
      <c r="E30" s="35" t="s">
        <v>21</v>
      </c>
      <c r="F30" s="32"/>
      <c r="G30" s="32"/>
    </row>
    <row r="31" spans="2:7" ht="33.75" customHeight="1" x14ac:dyDescent="0.3">
      <c r="B31" s="35">
        <v>20</v>
      </c>
      <c r="C31" s="37" t="s">
        <v>174</v>
      </c>
      <c r="D31" s="32" t="s">
        <v>175</v>
      </c>
      <c r="E31" s="35" t="s">
        <v>21</v>
      </c>
      <c r="F31" s="32"/>
      <c r="G31" s="32"/>
    </row>
    <row r="32" spans="2:7" ht="33.75" customHeight="1" x14ac:dyDescent="0.3">
      <c r="B32" s="35">
        <v>21</v>
      </c>
      <c r="C32" s="37" t="s">
        <v>176</v>
      </c>
      <c r="D32" s="32" t="s">
        <v>177</v>
      </c>
      <c r="E32" s="35" t="s">
        <v>21</v>
      </c>
      <c r="F32" s="32"/>
      <c r="G32" s="32"/>
    </row>
    <row r="33" spans="2:7" ht="33.75" customHeight="1" x14ac:dyDescent="0.3">
      <c r="B33" s="35">
        <v>22</v>
      </c>
      <c r="C33" s="37" t="s">
        <v>178</v>
      </c>
      <c r="D33" s="32" t="s">
        <v>179</v>
      </c>
      <c r="E33" s="35" t="s">
        <v>21</v>
      </c>
      <c r="F33" s="32"/>
      <c r="G33" s="32"/>
    </row>
    <row r="35" spans="2:7" ht="15" customHeight="1" x14ac:dyDescent="0.3">
      <c r="B35" s="44" t="s">
        <v>180</v>
      </c>
      <c r="C35" s="44"/>
      <c r="D35" s="38">
        <f>COUNTIF(E8:E33,"✗ No cumple")</f>
        <v>1</v>
      </c>
    </row>
    <row r="36" spans="2:7" ht="15" customHeight="1" x14ac:dyDescent="0.3">
      <c r="B36" s="44" t="s">
        <v>181</v>
      </c>
      <c r="C36" s="44"/>
      <c r="D36" s="39">
        <f>COUNTIF(E8:E33,"⚠ Revisar")</f>
        <v>1</v>
      </c>
    </row>
    <row r="37" spans="2:7" ht="24" customHeight="1" x14ac:dyDescent="0.3">
      <c r="B37" s="50" t="s">
        <v>182</v>
      </c>
      <c r="C37" s="50"/>
      <c r="D37" s="51" t="str">
        <f>IF(D35&gt;0,"RECHAZADA - corregir ambigüedades críticas",IF(D36&gt;0,"APROBADA CON OBSERVACIONES - aclarar pendientes","APROBADA - lista para BDD"))</f>
        <v>RECHAZADA - corregir ambigüedades críticas</v>
      </c>
      <c r="E37" s="51"/>
      <c r="F37" s="51"/>
      <c r="G37" s="51"/>
    </row>
  </sheetData>
  <mergeCells count="13">
    <mergeCell ref="B36:C36"/>
    <mergeCell ref="B37:C37"/>
    <mergeCell ref="D37:G37"/>
    <mergeCell ref="B8:G8"/>
    <mergeCell ref="B14:G14"/>
    <mergeCell ref="B21:G21"/>
    <mergeCell ref="B27:G27"/>
    <mergeCell ref="B35:C35"/>
    <mergeCell ref="B2:G2"/>
    <mergeCell ref="B3:C3"/>
    <mergeCell ref="E3:F3"/>
    <mergeCell ref="B4:G4"/>
    <mergeCell ref="B5:G5"/>
  </mergeCells>
  <dataValidations count="1">
    <dataValidation type="list" allowBlank="1" sqref="E9:E13 E15:E20 E22:E26 E28:E33" xr:uid="{00000000-0002-0000-0C00-000000000000}">
      <formula1>"✓ Cumple,✗ No cumple,⚠ Revisar,N/A"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G37"/>
  <sheetViews>
    <sheetView zoomScaleNormal="100" workbookViewId="0"/>
  </sheetViews>
  <sheetFormatPr baseColWidth="10" defaultColWidth="8.6640625" defaultRowHeight="14.4" x14ac:dyDescent="0.3"/>
  <cols>
    <col min="1" max="1" width="3" customWidth="1"/>
    <col min="2" max="2" width="6" customWidth="1"/>
    <col min="3" max="3" width="30" customWidth="1"/>
    <col min="4" max="4" width="50" customWidth="1"/>
    <col min="5" max="5" width="14" customWidth="1"/>
    <col min="6" max="6" width="30" customWidth="1"/>
    <col min="7" max="7" width="34" customWidth="1"/>
  </cols>
  <sheetData>
    <row r="2" spans="2:7" ht="33.75" customHeight="1" x14ac:dyDescent="0.3">
      <c r="B2" s="11" t="s">
        <v>120</v>
      </c>
      <c r="C2" s="11"/>
      <c r="D2" s="11"/>
      <c r="E2" s="11"/>
      <c r="F2" s="11"/>
      <c r="G2" s="11"/>
    </row>
    <row r="3" spans="2:7" ht="15" customHeight="1" x14ac:dyDescent="0.3">
      <c r="B3" s="44" t="s">
        <v>113</v>
      </c>
      <c r="C3" s="44"/>
      <c r="D3" s="36"/>
      <c r="E3" s="44" t="s">
        <v>121</v>
      </c>
      <c r="F3" s="44"/>
      <c r="G3" s="36"/>
    </row>
    <row r="4" spans="2:7" ht="15" customHeight="1" x14ac:dyDescent="0.3">
      <c r="B4" s="44" t="s">
        <v>114</v>
      </c>
      <c r="C4" s="44"/>
      <c r="D4" s="44"/>
      <c r="E4" s="44"/>
      <c r="F4" s="44"/>
      <c r="G4" s="44"/>
    </row>
    <row r="5" spans="2:7" ht="30" customHeight="1" x14ac:dyDescent="0.3">
      <c r="B5" s="45"/>
      <c r="C5" s="45"/>
      <c r="D5" s="45"/>
      <c r="E5" s="45"/>
      <c r="F5" s="45"/>
      <c r="G5" s="45"/>
    </row>
    <row r="7" spans="2:7" ht="24" customHeight="1" x14ac:dyDescent="0.3">
      <c r="B7" s="29" t="s">
        <v>122</v>
      </c>
      <c r="C7" s="29" t="s">
        <v>123</v>
      </c>
      <c r="D7" s="29" t="s">
        <v>124</v>
      </c>
      <c r="E7" s="29" t="s">
        <v>125</v>
      </c>
      <c r="F7" s="29" t="s">
        <v>126</v>
      </c>
      <c r="G7" s="29" t="s">
        <v>127</v>
      </c>
    </row>
    <row r="8" spans="2:7" ht="21.75" customHeight="1" x14ac:dyDescent="0.3">
      <c r="B8" s="46" t="s">
        <v>128</v>
      </c>
      <c r="C8" s="46"/>
      <c r="D8" s="46"/>
      <c r="E8" s="46"/>
      <c r="F8" s="46"/>
      <c r="G8" s="46"/>
    </row>
    <row r="9" spans="2:7" ht="33.75" customHeight="1" x14ac:dyDescent="0.3">
      <c r="B9" s="35">
        <v>1</v>
      </c>
      <c r="C9" s="37" t="s">
        <v>129</v>
      </c>
      <c r="D9" s="32" t="s">
        <v>130</v>
      </c>
      <c r="E9" s="35" t="s">
        <v>21</v>
      </c>
      <c r="F9" s="32"/>
      <c r="G9" s="32"/>
    </row>
    <row r="10" spans="2:7" ht="33.75" customHeight="1" x14ac:dyDescent="0.3">
      <c r="B10" s="35">
        <v>2</v>
      </c>
      <c r="C10" s="37" t="s">
        <v>131</v>
      </c>
      <c r="D10" s="32" t="s">
        <v>132</v>
      </c>
      <c r="E10" s="35" t="s">
        <v>21</v>
      </c>
      <c r="F10" s="32"/>
      <c r="G10" s="32"/>
    </row>
    <row r="11" spans="2:7" ht="33.75" customHeight="1" x14ac:dyDescent="0.3">
      <c r="B11" s="35">
        <v>3</v>
      </c>
      <c r="C11" s="37" t="s">
        <v>133</v>
      </c>
      <c r="D11" s="32" t="s">
        <v>134</v>
      </c>
      <c r="E11" s="35" t="s">
        <v>21</v>
      </c>
      <c r="F11" s="32"/>
      <c r="G11" s="32"/>
    </row>
    <row r="12" spans="2:7" ht="33.75" customHeight="1" x14ac:dyDescent="0.3">
      <c r="B12" s="35">
        <v>4</v>
      </c>
      <c r="C12" s="37" t="s">
        <v>135</v>
      </c>
      <c r="D12" s="32" t="s">
        <v>136</v>
      </c>
      <c r="E12" s="35" t="s">
        <v>21</v>
      </c>
      <c r="F12" s="32"/>
      <c r="G12" s="32"/>
    </row>
    <row r="13" spans="2:7" ht="33.75" customHeight="1" x14ac:dyDescent="0.3">
      <c r="B13" s="35">
        <v>5</v>
      </c>
      <c r="C13" s="37" t="s">
        <v>137</v>
      </c>
      <c r="D13" s="32" t="s">
        <v>138</v>
      </c>
      <c r="E13" s="35" t="s">
        <v>21</v>
      </c>
      <c r="F13" s="32"/>
      <c r="G13" s="32"/>
    </row>
    <row r="14" spans="2:7" ht="21.75" customHeight="1" x14ac:dyDescent="0.3">
      <c r="B14" s="47" t="s">
        <v>139</v>
      </c>
      <c r="C14" s="47"/>
      <c r="D14" s="47"/>
      <c r="E14" s="47"/>
      <c r="F14" s="47"/>
      <c r="G14" s="47"/>
    </row>
    <row r="15" spans="2:7" ht="33.75" customHeight="1" x14ac:dyDescent="0.3">
      <c r="B15" s="35">
        <v>6</v>
      </c>
      <c r="C15" s="37" t="s">
        <v>140</v>
      </c>
      <c r="D15" s="32" t="s">
        <v>141</v>
      </c>
      <c r="E15" s="35" t="s">
        <v>21</v>
      </c>
      <c r="F15" s="32"/>
      <c r="G15" s="32"/>
    </row>
    <row r="16" spans="2:7" ht="33.75" customHeight="1" x14ac:dyDescent="0.3">
      <c r="B16" s="35">
        <v>7</v>
      </c>
      <c r="C16" s="37" t="s">
        <v>142</v>
      </c>
      <c r="D16" s="32" t="s">
        <v>143</v>
      </c>
      <c r="E16" s="35" t="s">
        <v>21</v>
      </c>
      <c r="F16" s="32"/>
      <c r="G16" s="32"/>
    </row>
    <row r="17" spans="2:7" ht="33.75" customHeight="1" x14ac:dyDescent="0.3">
      <c r="B17" s="35">
        <v>8</v>
      </c>
      <c r="C17" s="37" t="s">
        <v>144</v>
      </c>
      <c r="D17" s="32" t="s">
        <v>145</v>
      </c>
      <c r="E17" s="35" t="s">
        <v>21</v>
      </c>
      <c r="F17" s="32"/>
      <c r="G17" s="32"/>
    </row>
    <row r="18" spans="2:7" ht="33.75" customHeight="1" x14ac:dyDescent="0.3">
      <c r="B18" s="35">
        <v>9</v>
      </c>
      <c r="C18" s="37" t="s">
        <v>146</v>
      </c>
      <c r="D18" s="32" t="s">
        <v>147</v>
      </c>
      <c r="E18" s="35" t="s">
        <v>21</v>
      </c>
      <c r="F18" s="32"/>
      <c r="G18" s="32"/>
    </row>
    <row r="19" spans="2:7" ht="33.75" customHeight="1" x14ac:dyDescent="0.3">
      <c r="B19" s="35">
        <v>10</v>
      </c>
      <c r="C19" s="37" t="s">
        <v>150</v>
      </c>
      <c r="D19" s="32" t="s">
        <v>151</v>
      </c>
      <c r="E19" s="35" t="s">
        <v>21</v>
      </c>
      <c r="F19" s="32"/>
      <c r="G19" s="32"/>
    </row>
    <row r="20" spans="2:7" ht="33.75" customHeight="1" x14ac:dyDescent="0.3">
      <c r="B20" s="35">
        <v>11</v>
      </c>
      <c r="C20" s="37" t="s">
        <v>152</v>
      </c>
      <c r="D20" s="32" t="s">
        <v>153</v>
      </c>
      <c r="E20" s="35" t="s">
        <v>21</v>
      </c>
      <c r="F20" s="32"/>
      <c r="G20" s="32"/>
    </row>
    <row r="21" spans="2:7" ht="21.75" customHeight="1" x14ac:dyDescent="0.3">
      <c r="B21" s="48" t="s">
        <v>154</v>
      </c>
      <c r="C21" s="48"/>
      <c r="D21" s="48"/>
      <c r="E21" s="48"/>
      <c r="F21" s="48"/>
      <c r="G21" s="48"/>
    </row>
    <row r="22" spans="2:7" ht="33.75" customHeight="1" x14ac:dyDescent="0.3">
      <c r="B22" s="35">
        <v>12</v>
      </c>
      <c r="C22" s="37" t="s">
        <v>155</v>
      </c>
      <c r="D22" s="32" t="s">
        <v>156</v>
      </c>
      <c r="E22" s="35" t="s">
        <v>21</v>
      </c>
      <c r="F22" s="32"/>
      <c r="G22" s="32"/>
    </row>
    <row r="23" spans="2:7" ht="33.75" customHeight="1" x14ac:dyDescent="0.3">
      <c r="B23" s="35">
        <v>13</v>
      </c>
      <c r="C23" s="37" t="s">
        <v>157</v>
      </c>
      <c r="D23" s="32" t="s">
        <v>158</v>
      </c>
      <c r="E23" s="35" t="s">
        <v>21</v>
      </c>
      <c r="F23" s="32"/>
      <c r="G23" s="32"/>
    </row>
    <row r="24" spans="2:7" ht="33.75" customHeight="1" x14ac:dyDescent="0.3">
      <c r="B24" s="35">
        <v>14</v>
      </c>
      <c r="C24" s="37" t="s">
        <v>159</v>
      </c>
      <c r="D24" s="32" t="s">
        <v>160</v>
      </c>
      <c r="E24" s="35" t="s">
        <v>21</v>
      </c>
      <c r="F24" s="32"/>
      <c r="G24" s="32"/>
    </row>
    <row r="25" spans="2:7" ht="33.75" customHeight="1" x14ac:dyDescent="0.3">
      <c r="B25" s="35">
        <v>15</v>
      </c>
      <c r="C25" s="37" t="s">
        <v>161</v>
      </c>
      <c r="D25" s="32" t="s">
        <v>162</v>
      </c>
      <c r="E25" s="35" t="s">
        <v>21</v>
      </c>
      <c r="F25" s="32"/>
      <c r="G25" s="32"/>
    </row>
    <row r="26" spans="2:7" ht="33.75" customHeight="1" x14ac:dyDescent="0.3">
      <c r="B26" s="35">
        <v>16</v>
      </c>
      <c r="C26" s="37" t="s">
        <v>163</v>
      </c>
      <c r="D26" s="32" t="s">
        <v>164</v>
      </c>
      <c r="E26" s="35" t="s">
        <v>21</v>
      </c>
      <c r="F26" s="32"/>
      <c r="G26" s="32"/>
    </row>
    <row r="27" spans="2:7" ht="21.75" customHeight="1" x14ac:dyDescent="0.3">
      <c r="B27" s="49" t="s">
        <v>165</v>
      </c>
      <c r="C27" s="49"/>
      <c r="D27" s="49"/>
      <c r="E27" s="49"/>
      <c r="F27" s="49"/>
      <c r="G27" s="49"/>
    </row>
    <row r="28" spans="2:7" ht="33.75" customHeight="1" x14ac:dyDescent="0.3">
      <c r="B28" s="35">
        <v>17</v>
      </c>
      <c r="C28" s="37" t="s">
        <v>166</v>
      </c>
      <c r="D28" s="32" t="s">
        <v>167</v>
      </c>
      <c r="E28" s="35" t="s">
        <v>21</v>
      </c>
      <c r="F28" s="32"/>
      <c r="G28" s="32"/>
    </row>
    <row r="29" spans="2:7" ht="33.75" customHeight="1" x14ac:dyDescent="0.3">
      <c r="B29" s="35">
        <v>18</v>
      </c>
      <c r="C29" s="37" t="s">
        <v>168</v>
      </c>
      <c r="D29" s="32" t="s">
        <v>169</v>
      </c>
      <c r="E29" s="35" t="s">
        <v>21</v>
      </c>
      <c r="F29" s="32"/>
      <c r="G29" s="32"/>
    </row>
    <row r="30" spans="2:7" ht="33.75" customHeight="1" x14ac:dyDescent="0.3">
      <c r="B30" s="35">
        <v>19</v>
      </c>
      <c r="C30" s="37" t="s">
        <v>170</v>
      </c>
      <c r="D30" s="32" t="s">
        <v>171</v>
      </c>
      <c r="E30" s="35" t="s">
        <v>21</v>
      </c>
      <c r="F30" s="32"/>
      <c r="G30" s="32"/>
    </row>
    <row r="31" spans="2:7" ht="33.75" customHeight="1" x14ac:dyDescent="0.3">
      <c r="B31" s="35">
        <v>20</v>
      </c>
      <c r="C31" s="37" t="s">
        <v>174</v>
      </c>
      <c r="D31" s="32" t="s">
        <v>175</v>
      </c>
      <c r="E31" s="35" t="s">
        <v>21</v>
      </c>
      <c r="F31" s="32"/>
      <c r="G31" s="32"/>
    </row>
    <row r="32" spans="2:7" ht="33.75" customHeight="1" x14ac:dyDescent="0.3">
      <c r="B32" s="35">
        <v>21</v>
      </c>
      <c r="C32" s="37" t="s">
        <v>176</v>
      </c>
      <c r="D32" s="32" t="s">
        <v>177</v>
      </c>
      <c r="E32" s="35" t="s">
        <v>21</v>
      </c>
      <c r="F32" s="32"/>
      <c r="G32" s="32"/>
    </row>
    <row r="33" spans="2:7" ht="33.75" customHeight="1" x14ac:dyDescent="0.3">
      <c r="B33" s="35">
        <v>22</v>
      </c>
      <c r="C33" s="37" t="s">
        <v>178</v>
      </c>
      <c r="D33" s="32" t="s">
        <v>179</v>
      </c>
      <c r="E33" s="35" t="s">
        <v>21</v>
      </c>
      <c r="F33" s="32"/>
      <c r="G33" s="32"/>
    </row>
    <row r="35" spans="2:7" ht="15" customHeight="1" x14ac:dyDescent="0.3">
      <c r="B35" s="44" t="s">
        <v>180</v>
      </c>
      <c r="C35" s="44"/>
      <c r="D35" s="38">
        <f>COUNTIF(E8:E33,"✗ No cumple")</f>
        <v>0</v>
      </c>
    </row>
    <row r="36" spans="2:7" ht="15" customHeight="1" x14ac:dyDescent="0.3">
      <c r="B36" s="44" t="s">
        <v>181</v>
      </c>
      <c r="C36" s="44"/>
      <c r="D36" s="39">
        <f>COUNTIF(E8:E33,"⚠ Revisar")</f>
        <v>0</v>
      </c>
    </row>
    <row r="37" spans="2:7" ht="24" customHeight="1" x14ac:dyDescent="0.3">
      <c r="B37" s="50" t="s">
        <v>182</v>
      </c>
      <c r="C37" s="50"/>
      <c r="D37" s="51" t="str">
        <f>IF(D35&gt;0,"RECHAZADA - corregir ambigüedades críticas",IF(D36&gt;0,"APROBADA CON OBSERVACIONES - aclarar pendientes","APROBADA - lista para BDD"))</f>
        <v>APROBADA - lista para BDD</v>
      </c>
      <c r="E37" s="51"/>
      <c r="F37" s="51"/>
      <c r="G37" s="51"/>
    </row>
  </sheetData>
  <mergeCells count="13">
    <mergeCell ref="B36:C36"/>
    <mergeCell ref="B37:C37"/>
    <mergeCell ref="D37:G37"/>
    <mergeCell ref="B8:G8"/>
    <mergeCell ref="B14:G14"/>
    <mergeCell ref="B21:G21"/>
    <mergeCell ref="B27:G27"/>
    <mergeCell ref="B35:C35"/>
    <mergeCell ref="B2:G2"/>
    <mergeCell ref="B3:C3"/>
    <mergeCell ref="E3:F3"/>
    <mergeCell ref="B4:G4"/>
    <mergeCell ref="B5:G5"/>
  </mergeCells>
  <dataValidations count="1">
    <dataValidation type="list" allowBlank="1" sqref="E9:E13 E15:E20 E22:E26 E28:E33" xr:uid="{00000000-0002-0000-0D00-000000000000}">
      <formula1>"✓ Cumple,✗ No cumple,⚠ Revisar,N/A"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G37"/>
  <sheetViews>
    <sheetView zoomScaleNormal="100" workbookViewId="0"/>
  </sheetViews>
  <sheetFormatPr baseColWidth="10" defaultColWidth="8.6640625" defaultRowHeight="14.4" x14ac:dyDescent="0.3"/>
  <cols>
    <col min="1" max="1" width="3" customWidth="1"/>
    <col min="2" max="2" width="6" customWidth="1"/>
    <col min="3" max="3" width="30" customWidth="1"/>
    <col min="4" max="4" width="50" customWidth="1"/>
    <col min="5" max="5" width="14" customWidth="1"/>
    <col min="6" max="6" width="30" customWidth="1"/>
    <col min="7" max="7" width="34" customWidth="1"/>
  </cols>
  <sheetData>
    <row r="2" spans="2:7" ht="33.75" customHeight="1" x14ac:dyDescent="0.3">
      <c r="B2" s="11" t="s">
        <v>120</v>
      </c>
      <c r="C2" s="11"/>
      <c r="D2" s="11"/>
      <c r="E2" s="11"/>
      <c r="F2" s="11"/>
      <c r="G2" s="11"/>
    </row>
    <row r="3" spans="2:7" ht="15" customHeight="1" x14ac:dyDescent="0.3">
      <c r="B3" s="44" t="s">
        <v>117</v>
      </c>
      <c r="C3" s="44"/>
      <c r="D3" s="36"/>
      <c r="E3" s="44" t="s">
        <v>121</v>
      </c>
      <c r="F3" s="44"/>
      <c r="G3" s="36"/>
    </row>
    <row r="4" spans="2:7" ht="15" customHeight="1" x14ac:dyDescent="0.3">
      <c r="B4" s="44" t="s">
        <v>118</v>
      </c>
      <c r="C4" s="44"/>
      <c r="D4" s="44"/>
      <c r="E4" s="44"/>
      <c r="F4" s="44"/>
      <c r="G4" s="44"/>
    </row>
    <row r="5" spans="2:7" ht="30" customHeight="1" x14ac:dyDescent="0.3">
      <c r="B5" s="45"/>
      <c r="C5" s="45"/>
      <c r="D5" s="45"/>
      <c r="E5" s="45"/>
      <c r="F5" s="45"/>
      <c r="G5" s="45"/>
    </row>
    <row r="7" spans="2:7" ht="24" customHeight="1" x14ac:dyDescent="0.3">
      <c r="B7" s="29" t="s">
        <v>122</v>
      </c>
      <c r="C7" s="29" t="s">
        <v>123</v>
      </c>
      <c r="D7" s="29" t="s">
        <v>124</v>
      </c>
      <c r="E7" s="29" t="s">
        <v>125</v>
      </c>
      <c r="F7" s="29" t="s">
        <v>126</v>
      </c>
      <c r="G7" s="29" t="s">
        <v>127</v>
      </c>
    </row>
    <row r="8" spans="2:7" ht="21.75" customHeight="1" x14ac:dyDescent="0.3">
      <c r="B8" s="46" t="s">
        <v>128</v>
      </c>
      <c r="C8" s="46"/>
      <c r="D8" s="46"/>
      <c r="E8" s="46"/>
      <c r="F8" s="46"/>
      <c r="G8" s="46"/>
    </row>
    <row r="9" spans="2:7" ht="33.75" customHeight="1" x14ac:dyDescent="0.3">
      <c r="B9" s="35">
        <v>1</v>
      </c>
      <c r="C9" s="37" t="s">
        <v>129</v>
      </c>
      <c r="D9" s="32" t="s">
        <v>130</v>
      </c>
      <c r="E9" s="35" t="s">
        <v>21</v>
      </c>
      <c r="F9" s="32"/>
      <c r="G9" s="32"/>
    </row>
    <row r="10" spans="2:7" ht="33.75" customHeight="1" x14ac:dyDescent="0.3">
      <c r="B10" s="35">
        <v>2</v>
      </c>
      <c r="C10" s="37" t="s">
        <v>131</v>
      </c>
      <c r="D10" s="32" t="s">
        <v>132</v>
      </c>
      <c r="E10" s="35" t="s">
        <v>21</v>
      </c>
      <c r="F10" s="32"/>
      <c r="G10" s="32"/>
    </row>
    <row r="11" spans="2:7" ht="33.75" customHeight="1" x14ac:dyDescent="0.3">
      <c r="B11" s="35">
        <v>3</v>
      </c>
      <c r="C11" s="37" t="s">
        <v>133</v>
      </c>
      <c r="D11" s="32" t="s">
        <v>134</v>
      </c>
      <c r="E11" s="35" t="s">
        <v>21</v>
      </c>
      <c r="F11" s="32"/>
      <c r="G11" s="32"/>
    </row>
    <row r="12" spans="2:7" ht="33.75" customHeight="1" x14ac:dyDescent="0.3">
      <c r="B12" s="35">
        <v>4</v>
      </c>
      <c r="C12" s="37" t="s">
        <v>135</v>
      </c>
      <c r="D12" s="32" t="s">
        <v>136</v>
      </c>
      <c r="E12" s="35" t="s">
        <v>21</v>
      </c>
      <c r="F12" s="32"/>
      <c r="G12" s="32"/>
    </row>
    <row r="13" spans="2:7" ht="33.75" customHeight="1" x14ac:dyDescent="0.3">
      <c r="B13" s="35">
        <v>5</v>
      </c>
      <c r="C13" s="37" t="s">
        <v>137</v>
      </c>
      <c r="D13" s="32" t="s">
        <v>138</v>
      </c>
      <c r="E13" s="35" t="s">
        <v>21</v>
      </c>
      <c r="F13" s="32"/>
      <c r="G13" s="32"/>
    </row>
    <row r="14" spans="2:7" ht="21.75" customHeight="1" x14ac:dyDescent="0.3">
      <c r="B14" s="47" t="s">
        <v>139</v>
      </c>
      <c r="C14" s="47"/>
      <c r="D14" s="47"/>
      <c r="E14" s="47"/>
      <c r="F14" s="47"/>
      <c r="G14" s="47"/>
    </row>
    <row r="15" spans="2:7" ht="33.75" customHeight="1" x14ac:dyDescent="0.3">
      <c r="B15" s="35">
        <v>6</v>
      </c>
      <c r="C15" s="37" t="s">
        <v>140</v>
      </c>
      <c r="D15" s="32" t="s">
        <v>141</v>
      </c>
      <c r="E15" s="35" t="s">
        <v>21</v>
      </c>
      <c r="F15" s="32"/>
      <c r="G15" s="32"/>
    </row>
    <row r="16" spans="2:7" ht="33.75" customHeight="1" x14ac:dyDescent="0.3">
      <c r="B16" s="35">
        <v>7</v>
      </c>
      <c r="C16" s="37" t="s">
        <v>142</v>
      </c>
      <c r="D16" s="32" t="s">
        <v>143</v>
      </c>
      <c r="E16" s="35" t="s">
        <v>21</v>
      </c>
      <c r="F16" s="32"/>
      <c r="G16" s="32"/>
    </row>
    <row r="17" spans="2:7" ht="33.75" customHeight="1" x14ac:dyDescent="0.3">
      <c r="B17" s="35">
        <v>8</v>
      </c>
      <c r="C17" s="37" t="s">
        <v>144</v>
      </c>
      <c r="D17" s="32" t="s">
        <v>145</v>
      </c>
      <c r="E17" s="35" t="s">
        <v>21</v>
      </c>
      <c r="F17" s="32"/>
      <c r="G17" s="32"/>
    </row>
    <row r="18" spans="2:7" ht="33.75" customHeight="1" x14ac:dyDescent="0.3">
      <c r="B18" s="35">
        <v>9</v>
      </c>
      <c r="C18" s="37" t="s">
        <v>146</v>
      </c>
      <c r="D18" s="32" t="s">
        <v>147</v>
      </c>
      <c r="E18" s="35" t="s">
        <v>21</v>
      </c>
      <c r="F18" s="32"/>
      <c r="G18" s="32"/>
    </row>
    <row r="19" spans="2:7" ht="33.75" customHeight="1" x14ac:dyDescent="0.3">
      <c r="B19" s="35">
        <v>10</v>
      </c>
      <c r="C19" s="37" t="s">
        <v>150</v>
      </c>
      <c r="D19" s="32" t="s">
        <v>151</v>
      </c>
      <c r="E19" s="35" t="s">
        <v>21</v>
      </c>
      <c r="F19" s="32"/>
      <c r="G19" s="32"/>
    </row>
    <row r="20" spans="2:7" ht="33.75" customHeight="1" x14ac:dyDescent="0.3">
      <c r="B20" s="35">
        <v>11</v>
      </c>
      <c r="C20" s="37" t="s">
        <v>152</v>
      </c>
      <c r="D20" s="32" t="s">
        <v>153</v>
      </c>
      <c r="E20" s="35" t="s">
        <v>21</v>
      </c>
      <c r="F20" s="32"/>
      <c r="G20" s="32"/>
    </row>
    <row r="21" spans="2:7" ht="21.75" customHeight="1" x14ac:dyDescent="0.3">
      <c r="B21" s="48" t="s">
        <v>154</v>
      </c>
      <c r="C21" s="48"/>
      <c r="D21" s="48"/>
      <c r="E21" s="48"/>
      <c r="F21" s="48"/>
      <c r="G21" s="48"/>
    </row>
    <row r="22" spans="2:7" ht="33.75" customHeight="1" x14ac:dyDescent="0.3">
      <c r="B22" s="35">
        <v>12</v>
      </c>
      <c r="C22" s="37" t="s">
        <v>155</v>
      </c>
      <c r="D22" s="32" t="s">
        <v>156</v>
      </c>
      <c r="E22" s="35" t="s">
        <v>21</v>
      </c>
      <c r="F22" s="32"/>
      <c r="G22" s="32"/>
    </row>
    <row r="23" spans="2:7" ht="33.75" customHeight="1" x14ac:dyDescent="0.3">
      <c r="B23" s="35">
        <v>13</v>
      </c>
      <c r="C23" s="37" t="s">
        <v>157</v>
      </c>
      <c r="D23" s="32" t="s">
        <v>158</v>
      </c>
      <c r="E23" s="35" t="s">
        <v>21</v>
      </c>
      <c r="F23" s="32"/>
      <c r="G23" s="32"/>
    </row>
    <row r="24" spans="2:7" ht="33.75" customHeight="1" x14ac:dyDescent="0.3">
      <c r="B24" s="35">
        <v>14</v>
      </c>
      <c r="C24" s="37" t="s">
        <v>159</v>
      </c>
      <c r="D24" s="32" t="s">
        <v>160</v>
      </c>
      <c r="E24" s="35" t="s">
        <v>21</v>
      </c>
      <c r="F24" s="32"/>
      <c r="G24" s="32"/>
    </row>
    <row r="25" spans="2:7" ht="33.75" customHeight="1" x14ac:dyDescent="0.3">
      <c r="B25" s="35">
        <v>15</v>
      </c>
      <c r="C25" s="37" t="s">
        <v>161</v>
      </c>
      <c r="D25" s="32" t="s">
        <v>162</v>
      </c>
      <c r="E25" s="35" t="s">
        <v>21</v>
      </c>
      <c r="F25" s="32"/>
      <c r="G25" s="32"/>
    </row>
    <row r="26" spans="2:7" ht="33.75" customHeight="1" x14ac:dyDescent="0.3">
      <c r="B26" s="35">
        <v>16</v>
      </c>
      <c r="C26" s="37" t="s">
        <v>163</v>
      </c>
      <c r="D26" s="32" t="s">
        <v>164</v>
      </c>
      <c r="E26" s="35" t="s">
        <v>21</v>
      </c>
      <c r="F26" s="32"/>
      <c r="G26" s="32"/>
    </row>
    <row r="27" spans="2:7" ht="21.75" customHeight="1" x14ac:dyDescent="0.3">
      <c r="B27" s="49" t="s">
        <v>165</v>
      </c>
      <c r="C27" s="49"/>
      <c r="D27" s="49"/>
      <c r="E27" s="49"/>
      <c r="F27" s="49"/>
      <c r="G27" s="49"/>
    </row>
    <row r="28" spans="2:7" ht="33.75" customHeight="1" x14ac:dyDescent="0.3">
      <c r="B28" s="35">
        <v>17</v>
      </c>
      <c r="C28" s="37" t="s">
        <v>166</v>
      </c>
      <c r="D28" s="32" t="s">
        <v>167</v>
      </c>
      <c r="E28" s="35" t="s">
        <v>21</v>
      </c>
      <c r="F28" s="32"/>
      <c r="G28" s="32"/>
    </row>
    <row r="29" spans="2:7" ht="33.75" customHeight="1" x14ac:dyDescent="0.3">
      <c r="B29" s="35">
        <v>18</v>
      </c>
      <c r="C29" s="37" t="s">
        <v>168</v>
      </c>
      <c r="D29" s="32" t="s">
        <v>169</v>
      </c>
      <c r="E29" s="35" t="s">
        <v>21</v>
      </c>
      <c r="F29" s="32"/>
      <c r="G29" s="32"/>
    </row>
    <row r="30" spans="2:7" ht="33.75" customHeight="1" x14ac:dyDescent="0.3">
      <c r="B30" s="35">
        <v>19</v>
      </c>
      <c r="C30" s="37" t="s">
        <v>170</v>
      </c>
      <c r="D30" s="32" t="s">
        <v>171</v>
      </c>
      <c r="E30" s="35" t="s">
        <v>25</v>
      </c>
      <c r="F30" s="32" t="s">
        <v>119</v>
      </c>
      <c r="G30" s="32" t="s">
        <v>206</v>
      </c>
    </row>
    <row r="31" spans="2:7" ht="33.75" customHeight="1" x14ac:dyDescent="0.3">
      <c r="B31" s="35">
        <v>20</v>
      </c>
      <c r="C31" s="37" t="s">
        <v>174</v>
      </c>
      <c r="D31" s="32" t="s">
        <v>175</v>
      </c>
      <c r="E31" s="35" t="s">
        <v>21</v>
      </c>
      <c r="F31" s="32"/>
      <c r="G31" s="32"/>
    </row>
    <row r="32" spans="2:7" ht="33.75" customHeight="1" x14ac:dyDescent="0.3">
      <c r="B32" s="35">
        <v>21</v>
      </c>
      <c r="C32" s="37" t="s">
        <v>176</v>
      </c>
      <c r="D32" s="32" t="s">
        <v>177</v>
      </c>
      <c r="E32" s="35" t="s">
        <v>21</v>
      </c>
      <c r="F32" s="32"/>
      <c r="G32" s="32"/>
    </row>
    <row r="33" spans="2:7" ht="33.75" customHeight="1" x14ac:dyDescent="0.3">
      <c r="B33" s="35">
        <v>22</v>
      </c>
      <c r="C33" s="37" t="s">
        <v>178</v>
      </c>
      <c r="D33" s="32" t="s">
        <v>179</v>
      </c>
      <c r="E33" s="35" t="s">
        <v>21</v>
      </c>
      <c r="F33" s="32"/>
      <c r="G33" s="32"/>
    </row>
    <row r="35" spans="2:7" ht="15" customHeight="1" x14ac:dyDescent="0.3">
      <c r="B35" s="44" t="s">
        <v>180</v>
      </c>
      <c r="C35" s="44"/>
      <c r="D35" s="38">
        <f>COUNTIF(E8:E33,"✗ No cumple")</f>
        <v>0</v>
      </c>
    </row>
    <row r="36" spans="2:7" ht="15" customHeight="1" x14ac:dyDescent="0.3">
      <c r="B36" s="44" t="s">
        <v>181</v>
      </c>
      <c r="C36" s="44"/>
      <c r="D36" s="39">
        <f>COUNTIF(E8:E33,"⚠ Revisar")</f>
        <v>1</v>
      </c>
    </row>
    <row r="37" spans="2:7" ht="24" customHeight="1" x14ac:dyDescent="0.3">
      <c r="B37" s="50" t="s">
        <v>182</v>
      </c>
      <c r="C37" s="50"/>
      <c r="D37" s="51" t="str">
        <f>IF(D35&gt;0,"RECHAZADA - corregir ambigüedades críticas",IF(D36&gt;0,"APROBADA CON OBSERVACIONES - aclarar pendientes","APROBADA - lista para BDD"))</f>
        <v>APROBADA CON OBSERVACIONES - aclarar pendientes</v>
      </c>
      <c r="E37" s="51"/>
      <c r="F37" s="51"/>
      <c r="G37" s="51"/>
    </row>
  </sheetData>
  <mergeCells count="13">
    <mergeCell ref="B36:C36"/>
    <mergeCell ref="B37:C37"/>
    <mergeCell ref="D37:G37"/>
    <mergeCell ref="B8:G8"/>
    <mergeCell ref="B14:G14"/>
    <mergeCell ref="B21:G21"/>
    <mergeCell ref="B27:G27"/>
    <mergeCell ref="B35:C35"/>
    <mergeCell ref="B2:G2"/>
    <mergeCell ref="B3:C3"/>
    <mergeCell ref="E3:F3"/>
    <mergeCell ref="B4:G4"/>
    <mergeCell ref="B5:G5"/>
  </mergeCells>
  <dataValidations count="1">
    <dataValidation type="list" allowBlank="1" sqref="E9:E13 E15:E20 E22:E26 E28:E33" xr:uid="{00000000-0002-0000-0E00-000000000000}">
      <formula1>"✓ Cumple,✗ No cumple,⚠ Revisar,N/A"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Instrucciones</vt:lpstr>
      <vt:lpstr>Guía BDD</vt:lpstr>
      <vt:lpstr>Registro de Validación</vt:lpstr>
      <vt:lpstr>Checklist UR-01</vt:lpstr>
      <vt:lpstr>Checklist UR-02</vt:lpstr>
      <vt:lpstr>Checklist UR-03</vt:lpstr>
      <vt:lpstr>Checklist UR-04</vt:lpstr>
      <vt:lpstr>Checklist UR-05</vt:lpstr>
      <vt:lpstr>Checklist UR-06</vt:lpstr>
      <vt:lpstr>Checklist UR-07</vt:lpstr>
      <vt:lpstr>Checklist UR-08</vt:lpstr>
      <vt:lpstr>Checklist UR-09</vt:lpstr>
      <vt:lpstr>Checklist UR-10</vt:lpstr>
      <vt:lpstr>Checklist UR-11</vt:lpstr>
      <vt:lpstr>Checklist UR-12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JEIMY ALEXANDRA TORRES GALVAN</cp:lastModifiedBy>
  <cp:revision>0</cp:revision>
  <dcterms:created xsi:type="dcterms:W3CDTF">2026-07-06T05:02:00Z</dcterms:created>
  <dcterms:modified xsi:type="dcterms:W3CDTF">2026-07-22T13:31:58Z</dcterms:modified>
  <dc:language>en-US</dc:language>
</cp:coreProperties>
</file>