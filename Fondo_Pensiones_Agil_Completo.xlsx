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uario iTC\Downloads\"/>
    </mc:Choice>
  </mc:AlternateContent>
  <xr:revisionPtr revIDLastSave="0" documentId="13_ncr:1_{059C0546-BEDB-4CA9-BB30-96A4C93B72CB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Instrucciones" sheetId="1" r:id="rId1"/>
    <sheet name="Visión" sheetId="2" r:id="rId2"/>
    <sheet name="Épicas" sheetId="3" r:id="rId3"/>
    <sheet name="Historias de usuario" sheetId="4" r:id="rId4"/>
    <sheet name="Catálog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8" i="4" l="1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L28" i="3"/>
  <c r="L27" i="3"/>
  <c r="L26" i="3"/>
  <c r="L25" i="3"/>
  <c r="L24" i="3"/>
  <c r="L23" i="3"/>
  <c r="L22" i="3"/>
  <c r="L21" i="3"/>
  <c r="L20" i="3"/>
  <c r="L19" i="3"/>
  <c r="A18" i="2"/>
</calcChain>
</file>

<file path=xl/sharedStrings.xml><?xml version="1.0" encoding="utf-8"?>
<sst xmlns="http://schemas.openxmlformats.org/spreadsheetml/2006/main" count="433" uniqueCount="331">
  <si>
    <t>Plantillas ágiles: visión, épicas e historias de usuario</t>
  </si>
  <si>
    <t>Use este archivo para documentar la visión del producto/proyecto, descomponerla en épicas y redactar historias de usuario verificables. Las celdas en azul claro son espacios de trabajo.</t>
  </si>
  <si>
    <t>Hoja</t>
  </si>
  <si>
    <t>Propósito</t>
  </si>
  <si>
    <t>Qué debe completar</t>
  </si>
  <si>
    <t>Recomendación de calidad</t>
  </si>
  <si>
    <t>Visión</t>
  </si>
  <si>
    <t>Declarar la visión del producto/proyecto con la estructura del archivo original.</t>
  </si>
  <si>
    <t>Proyecto, equipo responsable y los componentes: Para, Quienes, El, Es, Qué, A diferencia de, Nuestro producto.</t>
  </si>
  <si>
    <t>La declaración debe mostrar claramente usuario objetivo, necesidad, tipo de solución, valor y diferenciador.</t>
  </si>
  <si>
    <t>Épicas</t>
  </si>
  <si>
    <t>Registrar capacidades o grandes bloques funcionales que agrupan varias historias de usuario.</t>
  </si>
  <si>
    <t>Una fila por épica, manteniendo los campos: identificador, nombre, descripción, problema, KPI, actores, supuestos, criterios, historias relacionadas y riesgos.</t>
  </si>
  <si>
    <t>Cada épica debe representar valor de negocio y permitir derivar al menos dos historias de usuario.</t>
  </si>
  <si>
    <t>Historias de usuario</t>
  </si>
  <si>
    <t>Describir funcionalidades pequeñas, negociables y verificables desde la perspectiva del usuario.</t>
  </si>
  <si>
    <t>Una fila por historia con identificador, título, descripción, contexto, prioridad, dependencias, estimación, criterios de aceptación, UX y riesgos.</t>
  </si>
  <si>
    <t>Use el formato: Como [rol], quiero [funcionalidad], para [beneficio]. Los criterios deben poder probarse.</t>
  </si>
  <si>
    <t>Criterios transversales de redacción</t>
  </si>
  <si>
    <t>Claridad</t>
  </si>
  <si>
    <t>Evite términos vagos como rápido, fácil, robusto o intuitivo si no están medidos.</t>
  </si>
  <si>
    <t>Trazabilidad</t>
  </si>
  <si>
    <t>Relacione las historias con la épica correspondiente y registre las dependencias relevantes.</t>
  </si>
  <si>
    <t>Valor</t>
  </si>
  <si>
    <t>Toda épica e historia debe expresar valor para el usuario, negocio o proceso.</t>
  </si>
  <si>
    <t>Verificabilidad</t>
  </si>
  <si>
    <t>Los criterios de aceptación deben permitir validar objetivamente si la historia fue cumplida.</t>
  </si>
  <si>
    <t>Alcance</t>
  </si>
  <si>
    <t>Una historia de usuario debe describir una funcionalidad de software, no una actividad administrativa o de negocio aislada.</t>
  </si>
  <si>
    <t>Declaración de visión del producto/proyecto</t>
  </si>
  <si>
    <t>Complete los campos respetando la estructura original. La vista previa ensamblará una declaración de visión coherente a partir de sus respuestas.</t>
  </si>
  <si>
    <t>Proyecto</t>
  </si>
  <si>
    <t>Sistema de Atención Inteligente para Afiliados del Fondo de Pensiones</t>
  </si>
  <si>
    <t>Equipo responsable</t>
  </si>
  <si>
    <t>Gerencia General del Fondo de Pensiones / Equipo APE (BA: María Valentina Samaniego Vásquez)</t>
  </si>
  <si>
    <t>Estructura de la declaración de visión</t>
  </si>
  <si>
    <t>Campo</t>
  </si>
  <si>
    <t>Orientación</t>
  </si>
  <si>
    <t>Ejemplo</t>
  </si>
  <si>
    <t>Respuesta</t>
  </si>
  <si>
    <t>Para</t>
  </si>
  <si>
    <t>Segmento principal de usuarios, clientes o beneficiarios a quienes se dirige la solución.</t>
  </si>
  <si>
    <t>Para emprendedores de venta directa</t>
  </si>
  <si>
    <t>el personal operativo del Fondo de Pensiones (asesores de atención, analistas de beneficios, supervisores/gerencia y administradores del sistema) que atiende a 215,000 miembros, jubilados y beneficiarios</t>
  </si>
  <si>
    <t>Quienes</t>
  </si>
  <si>
    <t>Necesidad, problema u oportunidad concreta que enfrenta ese segmento.</t>
  </si>
  <si>
    <t>quienes necesitan organizar pedidos, clientes y evidencias de venta</t>
  </si>
  <si>
    <t>necesitan centralizar el registro, asignación y seguimiento de solicitudes de afiliados, y consultar información consolidada del afiliado desde una sola pantalla, reduciendo el tiempo promedio de resolución en al menos un 50% respecto al proceso actual (SRS, OBJ-01 a OBJ-03)</t>
  </si>
  <si>
    <t>El</t>
  </si>
  <si>
    <t>Nombre del producto, sistema o iniciativa.</t>
  </si>
  <si>
    <t>el sistema de gestión comercial móvil</t>
  </si>
  <si>
    <t>Es</t>
  </si>
  <si>
    <t>Categoría de solución o tipo de producto.</t>
  </si>
  <si>
    <t>es una aplicación web y móvil</t>
  </si>
  <si>
    <t>una aplicación web interna que opera dentro de la red institucional del fondo de pensiones e integra autenticación mediante el directorio institucional LDAP/Active Directory</t>
  </si>
  <si>
    <t>Qué</t>
  </si>
  <si>
    <t>Beneficio central o capacidad diferencial que entrega.</t>
  </si>
  <si>
    <t>que centraliza clientes, pedidos, pagos y seguimiento</t>
  </si>
  <si>
    <t>centraliza la gestión de solicitudes, la consulta de información de afiliados y la generación de reportes operativos en una única plataforma</t>
  </si>
  <si>
    <t>A diferencia de</t>
  </si>
  <si>
    <t>Alternativa actual, competencia o forma tradicional de resolver el problema.</t>
  </si>
  <si>
    <t>a diferencia de hojas de cálculo y mensajes dispersos</t>
  </si>
  <si>
    <t>los procesos manuales actuales mediante hojas de cálculo, correo electrónico y un sistema legacy fragmentado (SRS, 2.1)</t>
  </si>
  <si>
    <t>Nuestro producto</t>
  </si>
  <si>
    <t>Diferenciador principal o promesa de valor específica.</t>
  </si>
  <si>
    <t>nuestro producto automatiza el seguimiento comercial y genera reportes simples</t>
  </si>
  <si>
    <t>reduce el tiempo promedio de resolución de solicitudes en al menos un 50%, provee información consolidada del afiliado desde una sola pantalla y genera reportes de atención en tiempo real para la toma de decisiones gerenciales (OBJ-02, OBJ-03, OBJ-04)</t>
  </si>
  <si>
    <t>Vista previa de la declaración</t>
  </si>
  <si>
    <t>Orientaciones de revisión</t>
  </si>
  <si>
    <t>Preguntas de control</t>
  </si>
  <si>
    <t>Verificación</t>
  </si>
  <si>
    <t>¿Se reconoce claramente quién usará o se beneficiará de la solución?</t>
  </si>
  <si>
    <t>El campo Para debe identificar un segmento concreto.</t>
  </si>
  <si>
    <t>¿El problema o necesidad está expresado desde la perspectiva del usuario?</t>
  </si>
  <si>
    <t>El campo Quienes debe explicar la situación que justifica el producto.</t>
  </si>
  <si>
    <t>¿Se diferencia la propuesta frente a alternativas actuales?</t>
  </si>
  <si>
    <t>Los campos A diferencia de y Nuestro producto deben mostrar valor distintivo.</t>
  </si>
  <si>
    <t>Plantilla de épicas</t>
  </si>
  <si>
    <t>Registre una épica por fila. La épica debe representar una capacidad de alto nivel que agrupe historias de usuario y entregue valor de negocio medible.</t>
  </si>
  <si>
    <t>Orientación por campo</t>
  </si>
  <si>
    <t>Criterio de calidad / formato sugerido</t>
  </si>
  <si>
    <t>Identificador</t>
  </si>
  <si>
    <t>Código único y consecutivo.</t>
  </si>
  <si>
    <t>EP-01, EP-02, EP-03.</t>
  </si>
  <si>
    <t>Nombre de la épica</t>
  </si>
  <si>
    <t>Nombre breve de la capacidad o resultado esperado.</t>
  </si>
  <si>
    <t>Debe ser comprensible para negocio y tecnología.</t>
  </si>
  <si>
    <t>Descripción de alto nivel</t>
  </si>
  <si>
    <t>Resumen del alcance funcional de la épica.</t>
  </si>
  <si>
    <t>Explique qué cubre y qué valor entrega.</t>
  </si>
  <si>
    <t>Problema de negocio</t>
  </si>
  <si>
    <t>Dolor, oportunidad o necesidad que justifica la épica.</t>
  </si>
  <si>
    <t>Evite describir solo la solución; explique el problema.</t>
  </si>
  <si>
    <t>Objetivo de negocio (KPI)</t>
  </si>
  <si>
    <t>Indicador o resultado medible asociado.</t>
  </si>
  <si>
    <t>Ej.: reducir 30% el tiempo de registro; aumentar 15% la conversión.</t>
  </si>
  <si>
    <t>Actores implicados</t>
  </si>
  <si>
    <t>Usuarios, áreas o sistemas relacionados.</t>
  </si>
  <si>
    <t>Incluya roles, no nombres personales.</t>
  </si>
  <si>
    <t>Supuestos y restricciones</t>
  </si>
  <si>
    <t>Condiciones que limitan o condicionan la épica.</t>
  </si>
  <si>
    <t>Ej.: disponibilidad de datos, normativa, integración, tiempo.</t>
  </si>
  <si>
    <t>Criterios de éxito</t>
  </si>
  <si>
    <t>Condiciones verificables para considerar completada la épica.</t>
  </si>
  <si>
    <t>Deben poder revisarse con evidencias.</t>
  </si>
  <si>
    <t>Historias relacionadas</t>
  </si>
  <si>
    <t>Lista de historias de usuario asociadas.</t>
  </si>
  <si>
    <t>US-001, US-002, US-003.</t>
  </si>
  <si>
    <t>Notas adicionales/riesgos</t>
  </si>
  <si>
    <t>Riesgos, dudas o decisiones pendientes.</t>
  </si>
  <si>
    <t>Registre lo que pueda afectar alcance, costo, tiempo o calidad.</t>
  </si>
  <si>
    <t>Registro de épicas</t>
  </si>
  <si>
    <t>Estado</t>
  </si>
  <si>
    <t>Completitud</t>
  </si>
  <si>
    <t>EP-01</t>
  </si>
  <si>
    <t>Autenticación y Gestión de Sesión</t>
  </si>
  <si>
    <t>Permitir a los usuarios autenticarse en el sistema mediante sus credenciales institucionales (LDAP/AD), acceder a los módulos correspondientes a su rol, y cerrar la sesión de forma segura (manual o por inactividad). (UC-06, Objetivo)</t>
  </si>
  <si>
    <t>El informe de elicitación no identifica un problema de negocio específico para esta épica; su origen es el requisito de negocio BR-04 (Cumplimiento LOPDP) y las reglas de seguridad SEG-001 a SEG-005.</t>
  </si>
  <si>
    <t>BR-04: cumplir con la LOPDP en el tratamiento de datos de afiliados. RNF-004: bloqueo de cuenta tras 5 intentos fallidos. RNF-011: autenticación LDAP/AD con tiempo de respuesta ≤ 3 s.</t>
  </si>
  <si>
    <t>Todos los usuarios del sistema (USR-01 al USR-05)</t>
  </si>
  <si>
    <t>Supuestos: el servicio LDAP/AD está operativo y el navegador soporta HTTPS con TLS 1.2 o superior. Restricciones: toda comunicación se realiza mediante HTTPS/TLS 1.2+ (SEG-001); la cuenta se bloquea tras 5 intentos fallidos consecutivos (RNF-004); la sesión expira tras 30 minutos de inactividad (RF-014).</t>
  </si>
  <si>
    <t>El usuario accede a la pantalla principal del sistema con los módulos correspondientes a su rol visible. El evento de inicio o cierre de sesión queda registrado en el log de auditoría. (UC-06, Garantías de Éxito)</t>
  </si>
  <si>
    <t>UR-10</t>
  </si>
  <si>
    <t>Si la autenticación falla, el intento queda registrado en el log con la IP del usuario; si la cuenta se bloquea, el administrador recibe una notificación (UC-06, Garantías Mínimas).</t>
  </si>
  <si>
    <t>Aprobado</t>
  </si>
  <si>
    <t>EP-02</t>
  </si>
  <si>
    <t>Gestión de Usuarios y Roles</t>
  </si>
  <si>
    <t>Permitir al administrador crear, modificar y desactivar cuentas de usuario en el sistema, asignando o modificando roles y permisos, con registro completo de cada acción. (UC-05, Objetivo)</t>
  </si>
  <si>
    <t>No se identifica un problema de negocio explícito en el informe de elicitación; la épica responde a la necesidad de control de acceso por roles (RN-004) y a la reclasificación de RF-002 como RNF-012 (RBAC).</t>
  </si>
  <si>
    <t>RNF-012: control de acceso por roles verificado — un asesor que intenta acceder a gestión de usuarios o a reportes gerenciales debe recibir HTTP 403 en ambos casos.</t>
  </si>
  <si>
    <t>Administrador del sistema (USR-01)</t>
  </si>
  <si>
    <t>Supuestos: para creación, el usuario debe existir en el directorio institucional LDAP/AD; para desactivación, el usuario no tiene solicitudes activas asignadas (o se han reasignado previamente). Restricciones: solo usuarios con rol Administrador pueden ejecutar este caso de uso (RN-004); no es posible eliminar cuentas, solo desactivarlas.</t>
  </si>
  <si>
    <t>La cuenta de usuario queda creada, modificada o desactivada según la acción ejecutada. El evento queda registrado en el log de auditoría con fecha, hora y administrador responsable. (UC-05, Garantías de Éxito)</t>
  </si>
  <si>
    <t>UR-08</t>
  </si>
  <si>
    <t>Todo intento de creación, modificación o desactivación queda en el log, incluso si falla (UC-05, Garantías Mínimas). Ningún rol además del Administrador debe tener acceso a este módulo (UC-05, Observaciones).</t>
  </si>
  <si>
    <t>EP-03</t>
  </si>
  <si>
    <t>Consulta y Perfil del Afiliado</t>
  </si>
  <si>
    <t>Permitir al asesor localizar a un afiliado por número de cédula o nombre y visualizar su información consolidada (datos personales, estado de afiliación, solicitudes activas e historial) en una sola pantalla, en un tiempo máximo de 3 segundos. (UC-01, Objetivo)</t>
  </si>
  <si>
    <t>Información del afiliado fragmentada en múltiples sistemas sin integración, con pérdida de 10 a 25 minutos por caso y errores frecuentes, en las áreas de Atención al cliente y Beneficios (Informe de Elicitación, 5.1).</t>
  </si>
  <si>
    <t>BR-01: reducir el tiempo promedio de resolución en al menos 50% (baseline 48-72 h). OBJ-03: tiempo de búsqueda de información del afiliado ≤ 2 minutos.</t>
  </si>
  <si>
    <t>Asesor de atención al cliente (USR-02); Analista de beneficios (USR-03, para historial)</t>
  </si>
  <si>
    <t>Supuesto: los datos del afiliado en el sistema legacy están actualizados y disponibles para consulta. Restricción: el sistema depende de la disponibilidad del sistema legacy (DEP-01); la información es de solo lectura, sin modificación de datos del afiliado.</t>
  </si>
  <si>
    <t>El sistema muestra la pantalla de perfil consolidado del afiliado con todos sus datos disponibles en ≤ 3 segundos. (UC-01, Garantías de Éxito)</t>
  </si>
  <si>
    <t>UR-01, UR-04</t>
  </si>
  <si>
    <t>El intento de búsqueda queda registrado en el log del sistema aunque no se encuentren resultados (UC-01, Garantías Mínimas). El rendimiento depende directamente del tiempo de respuesta del sistema legacy (UC-01, Observaciones).</t>
  </si>
  <si>
    <t>EP-04</t>
  </si>
  <si>
    <t>Registro de Solicitudes</t>
  </si>
  <si>
    <t>Permitir al asesor crear un nuevo registro de solicitud vinculado a un afiliado seleccionado, con verificación de duplicados, asignando tipo, descripción, prioridad y asesor responsable, generando un identificador único y notificando al afiliado. (UC-02, Objetivo)</t>
  </si>
  <si>
    <t>Procesos manuales de registro en hojas de cálculo o sistemas legacy, con errores de captura, inconsistencia de datos y reprocesos, en las áreas de Nómina y Gestión documental (Informe de Elicitación, 5.1).</t>
  </si>
  <si>
    <t>BR-01, BR-03: automatizar al menos el 60% de la gestión de solicitudes, eliminando el registro manual en hojas de cálculo.</t>
  </si>
  <si>
    <t>Asesor de atención al cliente (USR-02); Afiliado/Miembro (receptor de la notificación)</t>
  </si>
  <si>
    <t>Supuestos: el catálogo de tipos de solicitud está configurado y actualizado; el servidor SMTP está disponible para notificaciones. Restricciones: solo usuarios con rol Asesor, Analista o Supervisor pueden registrar solicitudes; la verificación de duplicados aplica al mismo tipo de solicitud para el mismo afiliado con estados Pendiente o En proceso (RN-003).</t>
  </si>
  <si>
    <t>La solicitud queda registrada con ID único, estado 'Pendiente', fecha/hora de creación, asesor asignado, y el sistema envía notificación por correo electrónico al afiliado. (UC-02, Garantías de Éxito)</t>
  </si>
  <si>
    <t>UR-02, UR-07</t>
  </si>
  <si>
    <t>Aunque el registro falle, el intento queda en el log del sistema con el error producido (UC-02, Garantías Mínimas). La lógica de detección de duplicados (RN-003) es crítica y debe probarse exhaustivamente con casos límite (UC-02, Observaciones).</t>
  </si>
  <si>
    <t>EP-05</t>
  </si>
  <si>
    <t>Gestión de Estado y Seguimiento de Solicitudes</t>
  </si>
  <si>
    <t>Permitir al asesor o analista actualizar el estado de una solicitud, reasignarla a otro asesor o área con justificación obligatoria, y registrar anotaciones internas, manteniendo trazabilidad completa de todos los cambios. (UC-03, Objetivo)</t>
  </si>
  <si>
    <t>Ausencia de trazabilidad de solicitudes desde apertura hasta cierre, con solicitudes perdidas, duplicadas o sin seguimiento claro, afectando a todas las áreas operativas (Informe de Elicitación, 5.1).</t>
  </si>
  <si>
    <t>BR-01, BR-05: reducir el tiempo de resolución en 50% y garantizar la trazabilidad completa de cada solicitud desde apertura hasta cierre.</t>
  </si>
  <si>
    <t>Asesor de atención al cliente (USR-02); Analista de beneficios (USR-03); Responsable de nómina (USR-05, adjuntos)</t>
  </si>
  <si>
    <t>Supuestos: la solicitud existe y está en estado no final (Pendiente o En proceso); si hay reasignación, el usuario de destino existe y tiene un rol activo. Restricciones: una solicitud Resuelta o Rechazada no puede modificarse directamente (RN-006); el campo de justificación es obligatorio en reasignación (RN-001); solo el personal interno puede ver anotaciones internas (RN-005).</t>
  </si>
  <si>
    <t>El cambio de estado y/o la reasignación quedan registrados en el historial con fecha, hora, usuario responsable y justificación. Si el estado pasa a Resuelta o Rechazada, se envía notificación al afiliado. (UC-03, Garantías de Éxito)</t>
  </si>
  <si>
    <t>UR-03, UR-05, UR-09, UR-12</t>
  </si>
  <si>
    <t>Cualquier cambio intentado queda registrado en el log, incluso si falla; el estado previo se conserva en caso de error (UC-03, Garantías Mínimas). La inmutabilidad del historial de estados es crítica para auditorías regulatorias (UC-03, Observaciones).</t>
  </si>
  <si>
    <t>EP-06</t>
  </si>
  <si>
    <t>Reportes y Panel Gerencial</t>
  </si>
  <si>
    <t>Permitir al supervisor o gerencia visualizar un dashboard con indicadores clave en tiempo real y generar reportes de atención filtrables por período, área y tipo de solicitud, con opción de descarga en PDF o Excel. (UC-04, Objetivo)</t>
  </si>
  <si>
    <t>Falta de reportes en tiempo real para la toma de decisiones gerenciales, resultando en decisiones basadas en datos desactualizados o incompletos, en Gerencia y Supervisión (Informe de Elicitación, 5.1).</t>
  </si>
  <si>
    <t>BR-01, BR-02: incrementar la satisfacción del afiliado en al menos 30% a 4 meses del lanzamiento. OBJ-04: reportes de atención disponibles en tiempo real.</t>
  </si>
  <si>
    <t>Supervisor / Gerencia (USR-04)</t>
  </si>
  <si>
    <t>Supuesto: existen solicitudes registradas en el sistema para el período seleccionado. Restricciones: solo usuarios con rol Supervisor o Administrador pueden acceder a este módulo; los datos de afiliados en los reportes deben mostrarse con los campos mínimos necesarios, cumpliendo LOPDP.</t>
  </si>
  <si>
    <t>El dashboard muestra indicadores actualizados en tiempo real. El reporte generado incluye todos los indicadores solicitados y puede descargarse. (UC-04, Garantías de Éxito)</t>
  </si>
  <si>
    <t>UR-06, UR-11</t>
  </si>
  <si>
    <t>Si falla la generación del reporte, el usuario recibe un mensaje de error sin que el sistema quede en estado inconsistente (UC-04, Garantías Mínimas). La precisión de los indicadores depende de la calidad de los datos registrados en UC-02 y UC-03 (UC-04, Observaciones).</t>
  </si>
  <si>
    <t>EP-07</t>
  </si>
  <si>
    <t>Borrador</t>
  </si>
  <si>
    <t>EP-08</t>
  </si>
  <si>
    <t>EP-09</t>
  </si>
  <si>
    <t>EP-10</t>
  </si>
  <si>
    <t>Plantilla de historias de usuario</t>
  </si>
  <si>
    <t>Registre una historia por fila. La historia debe expresar una funcionalidad de software pequeña, estimable, priorizable y verificable. NOTA: en el registro de historias del caso 'Fondo de Pensiones', las columnas Estimación y Riesgos/preocupaciones fueron simuladas por Claude a pedido del usuario (no provienen de los documentos fuente); el resto de columnas proviene textualmente del SRS, el Catálogo de Requisitos y los Casos de Uso.</t>
  </si>
  <si>
    <t>Título</t>
  </si>
  <si>
    <t>Nombre breve de la funcionalidad.</t>
  </si>
  <si>
    <t>Debe ser específico y entendible.</t>
  </si>
  <si>
    <t>Descripción</t>
  </si>
  <si>
    <t>Redacte la historia desde la perspectiva del usuario.</t>
  </si>
  <si>
    <t>Como [rol], quiero [funcionalidad], para [beneficio].</t>
  </si>
  <si>
    <t>Contexto / notas</t>
  </si>
  <si>
    <t>Aclare reglas, antecedentes o decisiones relevantes.</t>
  </si>
  <si>
    <t>No repita la descripción; agregue información que reduzca ambigüedad.</t>
  </si>
  <si>
    <t>Prioridad</t>
  </si>
  <si>
    <t>Importancia relativa para planificación.</t>
  </si>
  <si>
    <t>Alta, Media o Baja.</t>
  </si>
  <si>
    <t>Dependencias</t>
  </si>
  <si>
    <t>Historias, épicas, sistemas o condiciones previas.</t>
  </si>
  <si>
    <t>Ej.: depende de US-003 o de integración con pasarela de pagos.</t>
  </si>
  <si>
    <t>Estimación</t>
  </si>
  <si>
    <t>Tamaño relativo del esfuerzo.</t>
  </si>
  <si>
    <t>Usar planning poker para estimar puntos de historia de usuario</t>
  </si>
  <si>
    <t>Criterios de Aceptación</t>
  </si>
  <si>
    <t>Condiciones verificables para aceptar la historia.</t>
  </si>
  <si>
    <t>Use Dado que / Cuando / Entonces o lista de validaciones observables.</t>
  </si>
  <si>
    <t>Notas de diseño / UX</t>
  </si>
  <si>
    <t>Consideraciones de interfaz, accesibilidad o experiencia.</t>
  </si>
  <si>
    <t>Incluya restricciones de pantalla, mensajes, navegación o prototipo.</t>
  </si>
  <si>
    <t>Riesgos / preocupaciones</t>
  </si>
  <si>
    <t>Aspectos que pueden afectar implementación o validación.</t>
  </si>
  <si>
    <t>Registre riesgos técnicos, dependencia externa, datos, seguridad o normativa.</t>
  </si>
  <si>
    <t>Registro de historias de usuario</t>
  </si>
  <si>
    <t>Épica relacionada</t>
  </si>
  <si>
    <t>UR-01</t>
  </si>
  <si>
    <t>Buscar afiliado por cédula o nombre</t>
  </si>
  <si>
    <t>Como asesor de atención, necesito buscar al afiliado por número de cédula o nombre desde una sola pantalla y ver toda su información consolidada. (UR-01)</t>
  </si>
  <si>
    <t>El sistema deberá permitir buscar un afiliado por número de cédula (10 dígitos) o nombre completo (mínimo 3 caracteres) y mostrar su información consolidada en una sola pantalla en un tiempo máximo de 3 segundos. (RF-004)</t>
  </si>
  <si>
    <t>Alta</t>
  </si>
  <si>
    <t>RNF-001, DEP-01 (sistema legacy)</t>
  </si>
  <si>
    <t>5 (simulado)</t>
  </si>
  <si>
    <t>Dado que el asesor ingresa una cédula válida existente, cuando ejecuta la búsqueda, entonces el sistema muestra el perfil del afiliado en ≤ 3 segundos. Si no existe, muestra mensaje de sin resultados. (RF-004)</t>
  </si>
  <si>
    <t>Pantalla: Búsqueda / Perfil del afiliado. Datos personales, estado de afiliación, solicitudes activas y últimas 10 solicitudes cerradas (UC-01, Salidas). (Detalle visual simulado sobre esa base.)</t>
  </si>
  <si>
    <t>El rendimiento depende directamente del sistema legacy (UC-01, Observaciones). Riesgo simulado: degradación si el legacy no responde bajo carga concurrente.</t>
  </si>
  <si>
    <t>UR-02</t>
  </si>
  <si>
    <t>Registrar nueva solicitud sin duplicados</t>
  </si>
  <si>
    <t>Como asesor, necesito registrar una nueva solicitud indicando tipo, descripción y datos del afiliado, sin duplicar registros existentes. (UR-02)</t>
  </si>
  <si>
    <t>El sistema deberá permitir registrar una nueva solicitud indicando: afiliado vinculado, tipo de solicitud (catálogo), descripción (máx. 500 caracteres), prioridad y asesor asignado. Antes de crear, el sistema deberá verificar duplicados (mismo tipo y afiliado con estado abierto). (RF-005)</t>
  </si>
  <si>
    <t>RNF-001, RN-003, RF-004 (afiliado ya localizado)</t>
  </si>
  <si>
    <t>Dado que el formulario está completo y no hay duplicado, cuando el asesor confirma, entonces el sistema crea la solicitud con ID único y estado 'Pendiente'. Si hay duplicado, el sistema muestra alerta antes de proceder. (RF-005)</t>
  </si>
  <si>
    <t>Pantalla: Registro de solicitud (Matriz de Trazabilidad, catálogo). (Detalle visual simulado.)</t>
  </si>
  <si>
    <t>La lógica de detección de duplicados (RN-003) es crítica y debe probarse exhaustivamente con casos límite (UC-02, Observaciones).</t>
  </si>
  <si>
    <t>UR-03</t>
  </si>
  <si>
    <t>Ver estado de solicitud en tiempo real</t>
  </si>
  <si>
    <t>Como asesor y supervisor, necesito ver el estado actual de cada solicitud (Pendiente, En proceso, Resuelta, Rechazada) en tiempo real. (UR-03)</t>
  </si>
  <si>
    <t>El sistema deberá mostrar el estado actual de cada solicitud en tiempo real, con marca de tiempo de cada cambio de estado registrado en el historial. (RF-006)</t>
  </si>
  <si>
    <t>RNF-001, RNF-010, RN-002, RN-006</t>
  </si>
  <si>
    <t>3 (simulado)</t>
  </si>
  <si>
    <t>Dado que una solicitud cambia de estado, entonces el nuevo estado y la fecha/hora son visibles de forma inmediata sin necesidad de recargar la página. (RF-006)</t>
  </si>
  <si>
    <t>Pantalla: Detalle de solicitud (Matriz de Trazabilidad, catálogo). (Detalle visual simulado.)</t>
  </si>
  <si>
    <t>La inmutabilidad del historial de estados es crítica para auditorías regulatorias; no debe existir función de eliminación o modificación de entradas históricas (UC-03, Observaciones).</t>
  </si>
  <si>
    <t>UR-04</t>
  </si>
  <si>
    <t>Consultar historial completo del afiliado</t>
  </si>
  <si>
    <t>Como analista de beneficios, necesito acceder al historial completo de solicitudes y trámites de un afiliado, incluyendo documentos adjuntos. (UR-04)</t>
  </si>
  <si>
    <t>El sistema deberá permitir consultar el historial completo de solicitudes y trámites de un afiliado, mostrando estado, fechas, responsable asignado y documentos adjuntos vinculados. (RF-007)</t>
  </si>
  <si>
    <t>RNF-010, RF-004 (perfil del afiliado)</t>
  </si>
  <si>
    <t>Dado que el analista accede al perfil de un afiliado, cuando selecciona 'Historial', entonces el sistema muestra todas las solicitudes ordenadas cronológicamente con sus estados y documentos. (RF-007)</t>
  </si>
  <si>
    <t>Pantalla: Historial del afiliado (Matriz de Trazabilidad, catálogo). (Detalle visual simulado.)</t>
  </si>
  <si>
    <t>Riesgo simulado: tiempo de carga elevado si el historial de un afiliado antiguo acumula muchas solicitudes y adjuntos.</t>
  </si>
  <si>
    <t>UR-05</t>
  </si>
  <si>
    <t>Asignar y reasignar solicitudes con justificación</t>
  </si>
  <si>
    <t>Como analista, necesito asignar y reasignar solicitudes a asesores o áreas específicas con una justificación registrada. (UR-05)</t>
  </si>
  <si>
    <t>El sistema deberá permitir asignar o reasignar una solicitud a un asesor o área, registrando el responsable anterior, el nuevo responsable, la fecha y una justificación obligatoria. (RF-008)</t>
  </si>
  <si>
    <t>RNF-010, RN-001</t>
  </si>
  <si>
    <t>Dado que el analista reasigna una solicitud con justificación, cuando confirma, entonces el historial registra el cambio con todos los datos requeridos de forma inmediata. (RF-008)</t>
  </si>
  <si>
    <t>Pantalla: Detalle de solicitud (reasignación) (Matriz de Trazabilidad, catálogo). (Detalle visual simulado.)</t>
  </si>
  <si>
    <t>El campo de justificación es obligatorio en cualquier reasignación (RN-001, UC-03). Riesgo simulado: reasignaciones en cadena sin trazabilidad clara si no se limita la profundidad del historial.</t>
  </si>
  <si>
    <t>UR-06</t>
  </si>
  <si>
    <t>Generar reportes de atención por período</t>
  </si>
  <si>
    <t>Como supervisor, necesito generar reportes de atención que muestren tiempos de respuesta promedio, volumen de solicitudes y tasa de resolución por período. (UR-06)</t>
  </si>
  <si>
    <t>El sistema deberá permitir generar reportes de atención filtrables por período (diario/semanal/mensual/rango), área y tipo de solicitud, mostrando: tiempo promedio de resolución, volumen de solicitudes, tasa de resolución dentro del SLA y solicitudes vencidas, con opción de descarga en PDF o Excel. (RF-012)</t>
  </si>
  <si>
    <t>RNF-002</t>
  </si>
  <si>
    <t>8 (simulado)</t>
  </si>
  <si>
    <t>Dado que el supervisor aplica filtros válidos y hace clic en 'Generar reporte', entonces el sistema lo genera en ≤ 5 segundos con todos los indicadores definidos. El archivo descargado contiene la misma información visible en pantalla. (RF-012)</t>
  </si>
  <si>
    <t>Pantalla: Reportes de atención (Matriz de Trazabilidad, catálogo). (Detalle visual simulado.)</t>
  </si>
  <si>
    <t>La precisión de los indicadores depende de la calidad de los datos registrados en el registro y gestión de solicitudes (UC-04, Observaciones).</t>
  </si>
  <si>
    <t>UR-07</t>
  </si>
  <si>
    <t>Recibir notificación por cambio de estado</t>
  </si>
  <si>
    <t>Como afiliado, necesito recibir notificaciones sobre el cambio de estado de mi solicitud por correo electrónico. (UR-07)</t>
  </si>
  <si>
    <t>El sistema deberá enviar automáticamente un correo electrónico al afiliado registrado cuando su solicitud cambie de estado, indicando: nuevo estado, fecha del cambio y canal de contacto para consultas. (RF-010)</t>
  </si>
  <si>
    <t>Media</t>
  </si>
  <si>
    <t>DEP-03 (servidor SMTP institucional)</t>
  </si>
  <si>
    <t>Dado que una solicitud cambia de estado, entonces el sistema envía el correo de notificación al afiliado en ≤ 2 minutos vía servidor SMTP institucional. (RF-010)</t>
  </si>
  <si>
    <t>Proceso automático de backend, sin pantalla propia (Matriz de Trazabilidad, catálogo).</t>
  </si>
  <si>
    <t>Riesgo simulado: rebote o retraso de la notificación si el correo del afiliado está desactualizado o el servidor SMTP presenta intermitencias.</t>
  </si>
  <si>
    <t>Crear, modificar y desactivar cuentas de usuario</t>
  </si>
  <si>
    <t>Como administrador, necesito crear, modificar y desactivar cuentas de usuario asignando roles y permisos específicos. (UR-08) Nota: el control de roles/permisos en sí está cubierto por RNF-012, reclasificado desde RF-002.</t>
  </si>
  <si>
    <t>El sistema deberá permitir al administrador crear, modificar y desactivar cuentas de usuario, registrando fecha, motivo y administrador responsable de cada acción. (RF-003)</t>
  </si>
  <si>
    <t>RNF-005, RNF-010, RNF-012, DEP-02</t>
  </si>
  <si>
    <t>Dado que el administrador desactiva una cuenta, entonces el usuario no puede iniciar sesión y el evento queda en el log con motivo registrado. (RF-003)</t>
  </si>
  <si>
    <t>Pantalla: Gestión de usuarios (Matriz de Trazabilidad, catálogo). (Detalle visual simulado.)</t>
  </si>
  <si>
    <t>Ningún rol además del Administrador debe tener acceso a este módulo; debe validarse explícitamente en pruebas de control de acceso (UC-05, Observaciones).</t>
  </si>
  <si>
    <t>UR-09</t>
  </si>
  <si>
    <t>Adjuntar documentos digitales a una solicitud</t>
  </si>
  <si>
    <t>Como responsable de nómina, necesito adjuntar documentos digitales a cada solicitud o trámite para mantener el expediente digital completo. (UR-09)</t>
  </si>
  <si>
    <t>El sistema deberá permitir adjuntar archivos digitales (PDF, JPG, PNG, hasta 10 MB por archivo) a una solicitud, permitir visualizarlos en línea y descargarlos. (RF-009)</t>
  </si>
  <si>
    <t>Ninguna registrada en el catálogo</t>
  </si>
  <si>
    <t>Dado que el usuario adjunta un PDF de 5 MB, cuando completa la carga, entonces el archivo aparece vinculado a la solicitud y puede ser descargado por otros usuarios con acceso. (RF-009)</t>
  </si>
  <si>
    <t>Pantalla: Detalle de solicitud (adjuntos) (Matriz de Trazabilidad, catálogo). (Detalle visual simulado.)</t>
  </si>
  <si>
    <t>Riesgo simulado: consumo de almacenamiento si no se define una política de retención de adjuntos.</t>
  </si>
  <si>
    <t>Autenticarse con credenciales institucionales</t>
  </si>
  <si>
    <t>Como cualquier usuario del sistema, necesito autenticarme con mis credenciales institucionales (usuario y contraseña del directorio institucional LDAP/AD). (UR-10) Nota: la autenticación en sí está cubierta por RNF-011, reclasificado desde RF-001.</t>
  </si>
  <si>
    <t>El sistema deberá cerrar automáticamente la sesión del usuario tras 30 minutos de inactividad, requiriendo reautenticación para continuar y mostrando advertencia 5 minutos antes del cierre automático. (RF-014)</t>
  </si>
  <si>
    <t>RNF-004, RNF-006, RNF-011, SEG-005</t>
  </si>
  <si>
    <t>Dado que el usuario no realiza acción alguna durante 30 minutos, entonces el sistema cierra la sesión y redirige a la pantalla de inicio de sesión. (RF-014)</t>
  </si>
  <si>
    <t>Pantalla: Inicio de sesión (Matriz de Trazabilidad, catálogo). (Detalle visual simulado.)</t>
  </si>
  <si>
    <t>La implementación debe coordinarse estrechamente con TI para la integración LDAP/AD; se recomienda prueba de estrés del módulo de autenticación en paralelo con los demás módulos (UC-06, Observaciones).</t>
  </si>
  <si>
    <t>UR-11</t>
  </si>
  <si>
    <t>Ver dashboard gerencial con indicadores clave</t>
  </si>
  <si>
    <t>Como supervisor, necesito ver un dashboard con indicadores clave de atención (solicitudes abiertas, promedio de resolución, solicitudes vencidas) en tiempo real. (UR-11)</t>
  </si>
  <si>
    <t>El sistema deberá mostrar un dashboard con indicadores actualizados cada 5 minutos: solicitudes abiertas, solicitudes vencidas, tiempo promedio de resolución del día y tasa de resolución dentro del SLA. (RF-013)</t>
  </si>
  <si>
    <t>RNF-002, RN-002</t>
  </si>
  <si>
    <t>Dado que el supervisor accede al dashboard, entonces los indicadores muestran datos actualizados con máximo 5 minutos de desfase respecto al estado real del sistema. (RF-013)</t>
  </si>
  <si>
    <t>Pantalla: Dashboard gerencial (Matriz de Trazabilidad, catálogo). (Detalle visual simulado.)</t>
  </si>
  <si>
    <t>El módulo de reportes/dashboard es crítico para la toma de decisiones gerenciales; su precisión depende de los datos registrados en solicitudes (UC-04, Observaciones).</t>
  </si>
  <si>
    <t>UR-12</t>
  </si>
  <si>
    <t>Registrar anotaciones internas en una solicitud</t>
  </si>
  <si>
    <t>Como asesor, necesito registrar comentarios o anotaciones internas en una solicitud visibles solo para el personal del fondo. (UR-12)</t>
  </si>
  <si>
    <t>El sistema deberá permitir a los asesores registrar comentarios internos en una solicitud, visibles únicamente para el personal del fondo de pensiones y bajo ninguna circunstancia para el afiliado. (RF-011)</t>
  </si>
  <si>
    <t>RN-005</t>
  </si>
  <si>
    <t>2 (simulado)</t>
  </si>
  <si>
    <t>Dado que el asesor registra una anotación, cuando la guarda, entonces es visible para otros asesores pero no aparece en ninguna pantalla ni notificación dirigida al afiliado. (RF-011)</t>
  </si>
  <si>
    <t>Pantalla: Detalle de solicitud (anotaciones) (Matriz de Trazabilidad, catálogo). (Detalle visual simulado.)</t>
  </si>
  <si>
    <t>Solo el personal interno puede ver las anotaciones internas (RN-005, UC-03). Riesgo simulado: exposición accidental si no se separa claramente la vista de afiliado y la de personal interno.</t>
  </si>
  <si>
    <t>Catálogos de apoyo</t>
  </si>
  <si>
    <t>Épicas disponibles</t>
  </si>
  <si>
    <t>Uso sugerido</t>
  </si>
  <si>
    <t>Observación</t>
  </si>
  <si>
    <t>1</t>
  </si>
  <si>
    <t>Planificación</t>
  </si>
  <si>
    <t>Ajuste los catálogos si el equipo usa otra convención.</t>
  </si>
  <si>
    <t>Revisada</t>
  </si>
  <si>
    <t>2</t>
  </si>
  <si>
    <t>Priorización</t>
  </si>
  <si>
    <t>Las listas desplegables principales ya están aplicadas.</t>
  </si>
  <si>
    <t>Baja</t>
  </si>
  <si>
    <t>Aprobada</t>
  </si>
  <si>
    <t>3</t>
  </si>
  <si>
    <t>Use puntos de historia relativos, no horas exactas.</t>
  </si>
  <si>
    <t>Descartada</t>
  </si>
  <si>
    <t>5</t>
  </si>
  <si>
    <t>Relacione historias y épicas para evitar pérdida de alcance.</t>
  </si>
  <si>
    <t>8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</si>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</sst>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charset val="1"/>
    </font>
    <font>
      <b/>
      <sz val="16"/>
      <color rgb="FFFFFFFF"/>
      <name val="Calibri"/>
      <charset val="1"/>
    </font>
    <font>
      <sz val="10"/>
      <color rgb="FF111827"/>
      <name val="Calibri"/>
      <charset val="1"/>
    </font>
    <font>
      <b/>
      <sz val="10"/>
      <color rgb="FFFFFFFF"/>
      <name val="Calibri"/>
      <charset val="1"/>
    </font>
    <font>
      <b/>
      <sz val="12"/>
      <color rgb="FFFFFFFF"/>
      <name val="Calibri"/>
      <charset val="1"/>
    </font>
    <font>
      <b/>
      <sz val="10"/>
      <color rgb="FF111827"/>
      <name val="Calibri"/>
      <charset val="1"/>
    </font>
    <font>
      <i/>
      <sz val="10"/>
      <color rgb="FF111827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475569"/>
        <bgColor rgb="FF333399"/>
      </patternFill>
    </fill>
    <fill>
      <patternFill patternType="solid">
        <fgColor rgb="FFF8FAFC"/>
        <bgColor rgb="FFFFFFFF"/>
      </patternFill>
    </fill>
    <fill>
      <patternFill patternType="solid">
        <fgColor rgb="FF0F766E"/>
        <bgColor rgb="FF008080"/>
      </patternFill>
    </fill>
    <fill>
      <patternFill patternType="solid">
        <fgColor rgb="FFE7F5F1"/>
        <bgColor rgb="FFEAF2FF"/>
      </patternFill>
    </fill>
    <fill>
      <patternFill patternType="solid">
        <fgColor rgb="FFEAF2FF"/>
        <bgColor rgb="FFE7F5F1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7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7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9" fontId="2" fillId="9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4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vertical="top"/>
    </xf>
    <xf numFmtId="0" fontId="2" fillId="7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5F1"/>
      <rgbColor rgb="FFEAF2FF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picasTable" displayName="EpicasTable" ref="A18:L28" totalsRowShown="0">
  <tableColumns count="12">
    <tableColumn id="1" xr3:uid="{00000000-0010-0000-0000-000001000000}" name="Identificador"/>
    <tableColumn id="2" xr3:uid="{00000000-0010-0000-0000-000002000000}" name="Nombre de la épica"/>
    <tableColumn id="3" xr3:uid="{00000000-0010-0000-0000-000003000000}" name="Descripción de alto nivel"/>
    <tableColumn id="4" xr3:uid="{00000000-0010-0000-0000-000004000000}" name="Problema de negocio"/>
    <tableColumn id="5" xr3:uid="{00000000-0010-0000-0000-000005000000}" name="Objetivo de negocio (KPI)"/>
    <tableColumn id="6" xr3:uid="{00000000-0010-0000-0000-000006000000}" name="Actores implicados"/>
    <tableColumn id="7" xr3:uid="{00000000-0010-0000-0000-000007000000}" name="Supuestos y restricciones"/>
    <tableColumn id="8" xr3:uid="{00000000-0010-0000-0000-000008000000}" name="Criterios de éxito"/>
    <tableColumn id="9" xr3:uid="{00000000-0010-0000-0000-000009000000}" name="Historias relacionadas"/>
    <tableColumn id="10" xr3:uid="{00000000-0010-0000-0000-00000A000000}" name="Notas adicionales/riesgos"/>
    <tableColumn id="11" xr3:uid="{00000000-0010-0000-0000-00000B000000}" name="Estado"/>
    <tableColumn id="12" xr3:uid="{00000000-0010-0000-0000-00000C000000}" name="Completitu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storiasTable" displayName="HistoriasTable" ref="A18:M38" totalsRowShown="0">
  <tableColumns count="13">
    <tableColumn id="1" xr3:uid="{00000000-0010-0000-0100-000001000000}" name="Identificador"/>
    <tableColumn id="2" xr3:uid="{00000000-0010-0000-0100-000002000000}" name="Título"/>
    <tableColumn id="3" xr3:uid="{00000000-0010-0000-0100-000003000000}" name="Descripción"/>
    <tableColumn id="4" xr3:uid="{00000000-0010-0000-0100-000004000000}" name="Contexto / notas"/>
    <tableColumn id="5" xr3:uid="{00000000-0010-0000-0100-000005000000}" name="Prioridad"/>
    <tableColumn id="6" xr3:uid="{00000000-0010-0000-0100-000006000000}" name="Dependencias"/>
    <tableColumn id="7" xr3:uid="{00000000-0010-0000-0100-000007000000}" name="Estimación"/>
    <tableColumn id="8" xr3:uid="{00000000-0010-0000-0100-000008000000}" name="Criterios de Aceptación"/>
    <tableColumn id="9" xr3:uid="{00000000-0010-0000-0100-000009000000}" name="Notas de diseño / UX"/>
    <tableColumn id="10" xr3:uid="{00000000-0010-0000-0100-00000A000000}" name="Riesgos / preocupaciones"/>
    <tableColumn id="11" xr3:uid="{00000000-0010-0000-0100-00000B000000}" name="Épica relacionada"/>
    <tableColumn id="12" xr3:uid="{00000000-0010-0000-0100-00000C000000}" name="Estado"/>
    <tableColumn id="13" xr3:uid="{00000000-0010-0000-0100-00000D000000}" name="Completitu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>
      <selection activeCell="B6" sqref="B6"/>
    </sheetView>
  </sheetViews>
  <sheetFormatPr baseColWidth="10" defaultColWidth="9" defaultRowHeight="14.4" x14ac:dyDescent="0.3"/>
  <cols>
    <col min="1" max="1" width="22" customWidth="1"/>
    <col min="2" max="2" width="65" customWidth="1"/>
    <col min="3" max="3" width="42" customWidth="1"/>
    <col min="4" max="4" width="48" customWidth="1"/>
    <col min="5" max="6" width="18" customWidth="1"/>
  </cols>
  <sheetData>
    <row r="1" spans="1:6" ht="33.75" customHeight="1" x14ac:dyDescent="0.3">
      <c r="A1" s="9" t="s">
        <v>0</v>
      </c>
      <c r="B1" s="9"/>
      <c r="C1" s="9"/>
      <c r="D1" s="9"/>
      <c r="E1" s="9"/>
      <c r="F1" s="9"/>
    </row>
    <row r="2" spans="1:6" ht="36" customHeight="1" x14ac:dyDescent="0.3">
      <c r="A2" s="10" t="s">
        <v>1</v>
      </c>
      <c r="B2" s="10"/>
      <c r="C2" s="10"/>
      <c r="D2" s="10"/>
      <c r="E2" s="10"/>
      <c r="F2" s="10"/>
    </row>
    <row r="3" spans="1:6" x14ac:dyDescent="0.3">
      <c r="A3" s="2"/>
      <c r="B3" s="2"/>
      <c r="C3" s="2"/>
      <c r="D3" s="2"/>
      <c r="E3" s="2"/>
      <c r="F3" s="2"/>
    </row>
    <row r="4" spans="1:6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2"/>
      <c r="F4" s="2"/>
    </row>
    <row r="5" spans="1:6" ht="38.25" customHeight="1" x14ac:dyDescent="0.3">
      <c r="A5" s="4" t="s">
        <v>6</v>
      </c>
      <c r="B5" s="4" t="s">
        <v>7</v>
      </c>
      <c r="C5" s="4" t="s">
        <v>8</v>
      </c>
      <c r="D5" s="4" t="s">
        <v>9</v>
      </c>
      <c r="E5" s="2"/>
      <c r="F5" s="2"/>
    </row>
    <row r="6" spans="1:6" ht="51" customHeight="1" x14ac:dyDescent="0.3">
      <c r="A6" s="4" t="s">
        <v>10</v>
      </c>
      <c r="B6" s="4" t="s">
        <v>11</v>
      </c>
      <c r="C6" s="4" t="s">
        <v>12</v>
      </c>
      <c r="D6" s="4" t="s">
        <v>13</v>
      </c>
      <c r="E6" s="2"/>
      <c r="F6" s="2"/>
    </row>
    <row r="7" spans="1:6" ht="38.25" customHeight="1" x14ac:dyDescent="0.3">
      <c r="A7" s="4" t="s">
        <v>14</v>
      </c>
      <c r="B7" s="4" t="s">
        <v>15</v>
      </c>
      <c r="C7" s="4" t="s">
        <v>16</v>
      </c>
      <c r="D7" s="4" t="s">
        <v>17</v>
      </c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ht="21.75" customHeight="1" x14ac:dyDescent="0.3">
      <c r="A10" s="11" t="s">
        <v>18</v>
      </c>
      <c r="B10" s="11"/>
      <c r="C10" s="11"/>
      <c r="D10" s="11"/>
      <c r="E10" s="11"/>
      <c r="F10" s="11"/>
    </row>
    <row r="11" spans="1:6" x14ac:dyDescent="0.3">
      <c r="A11" s="5" t="s">
        <v>19</v>
      </c>
      <c r="B11" s="4" t="s">
        <v>20</v>
      </c>
      <c r="C11" s="2"/>
      <c r="D11" s="2"/>
      <c r="E11" s="2"/>
      <c r="F11" s="2"/>
    </row>
    <row r="12" spans="1:6" ht="25.5" customHeight="1" x14ac:dyDescent="0.3">
      <c r="A12" s="5" t="s">
        <v>21</v>
      </c>
      <c r="B12" s="4" t="s">
        <v>22</v>
      </c>
      <c r="C12" s="2"/>
      <c r="D12" s="2"/>
      <c r="E12" s="2"/>
      <c r="F12" s="2"/>
    </row>
    <row r="13" spans="1:6" x14ac:dyDescent="0.3">
      <c r="A13" s="5" t="s">
        <v>23</v>
      </c>
      <c r="B13" s="4" t="s">
        <v>24</v>
      </c>
      <c r="C13" s="2"/>
      <c r="D13" s="2"/>
      <c r="E13" s="2"/>
      <c r="F13" s="2"/>
    </row>
    <row r="14" spans="1:6" ht="25.5" customHeight="1" x14ac:dyDescent="0.3">
      <c r="A14" s="5" t="s">
        <v>25</v>
      </c>
      <c r="B14" s="4" t="s">
        <v>26</v>
      </c>
      <c r="C14" s="2"/>
      <c r="D14" s="2"/>
      <c r="E14" s="2"/>
      <c r="F14" s="2"/>
    </row>
    <row r="15" spans="1:6" ht="25.5" customHeight="1" x14ac:dyDescent="0.3">
      <c r="A15" s="5" t="s">
        <v>27</v>
      </c>
      <c r="B15" s="4" t="s">
        <v>28</v>
      </c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</sheetData>
  <mergeCells count="3">
    <mergeCell ref="A1:F1"/>
    <mergeCell ref="A2:F2"/>
    <mergeCell ref="A10:F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opLeftCell="A8" zoomScaleNormal="100" workbookViewId="0">
      <selection activeCell="D12" sqref="D12"/>
    </sheetView>
  </sheetViews>
  <sheetFormatPr baseColWidth="10" defaultColWidth="9" defaultRowHeight="14.4" x14ac:dyDescent="0.3"/>
  <cols>
    <col min="1" max="1" width="22" customWidth="1"/>
    <col min="2" max="2" width="46" customWidth="1"/>
    <col min="3" max="3" width="48" customWidth="1"/>
    <col min="4" max="4" width="55" customWidth="1"/>
    <col min="5" max="6" width="14" customWidth="1"/>
  </cols>
  <sheetData>
    <row r="1" spans="1:6" ht="33.75" customHeight="1" x14ac:dyDescent="0.3">
      <c r="A1" s="14" t="s">
        <v>29</v>
      </c>
      <c r="B1" s="14"/>
      <c r="C1" s="14"/>
      <c r="D1" s="14"/>
      <c r="E1" s="14"/>
      <c r="F1" s="14"/>
    </row>
    <row r="2" spans="1:6" ht="33.75" customHeight="1" x14ac:dyDescent="0.3">
      <c r="A2" s="10" t="s">
        <v>30</v>
      </c>
      <c r="B2" s="10"/>
      <c r="C2" s="10"/>
      <c r="D2" s="10"/>
      <c r="E2" s="10"/>
      <c r="F2" s="10"/>
    </row>
    <row r="3" spans="1:6" x14ac:dyDescent="0.3">
      <c r="A3" s="2"/>
      <c r="B3" s="2"/>
      <c r="C3" s="2"/>
      <c r="D3" s="2"/>
      <c r="E3" s="2"/>
      <c r="F3" s="2"/>
    </row>
    <row r="4" spans="1:6" ht="14.25" customHeight="1" x14ac:dyDescent="0.3">
      <c r="A4" s="15" t="s">
        <v>31</v>
      </c>
      <c r="B4" s="15"/>
      <c r="C4" s="16" t="s">
        <v>32</v>
      </c>
      <c r="D4" s="16"/>
      <c r="E4" s="16"/>
      <c r="F4" s="16"/>
    </row>
    <row r="5" spans="1:6" ht="14.25" customHeight="1" x14ac:dyDescent="0.3">
      <c r="A5" s="15" t="s">
        <v>33</v>
      </c>
      <c r="B5" s="15"/>
      <c r="C5" s="16" t="s">
        <v>34</v>
      </c>
      <c r="D5" s="16"/>
      <c r="E5" s="16"/>
      <c r="F5" s="16"/>
    </row>
    <row r="6" spans="1:6" x14ac:dyDescent="0.3">
      <c r="A6" s="2"/>
      <c r="B6" s="2"/>
      <c r="C6" s="2"/>
      <c r="D6" s="2"/>
      <c r="E6" s="2"/>
      <c r="F6" s="2"/>
    </row>
    <row r="7" spans="1:6" ht="21.75" customHeight="1" x14ac:dyDescent="0.3">
      <c r="A7" s="11" t="s">
        <v>35</v>
      </c>
      <c r="B7" s="11"/>
      <c r="C7" s="11"/>
      <c r="D7" s="11"/>
      <c r="E7" s="11"/>
      <c r="F7" s="11"/>
    </row>
    <row r="8" spans="1:6" ht="30" customHeight="1" x14ac:dyDescent="0.3">
      <c r="A8" s="3" t="s">
        <v>36</v>
      </c>
      <c r="B8" s="3" t="s">
        <v>37</v>
      </c>
      <c r="C8" s="3" t="s">
        <v>38</v>
      </c>
      <c r="D8" s="3" t="s">
        <v>39</v>
      </c>
      <c r="E8" s="2"/>
      <c r="F8" s="2"/>
    </row>
    <row r="9" spans="1:6" ht="51.6" customHeight="1" x14ac:dyDescent="0.3">
      <c r="A9" s="5" t="s">
        <v>40</v>
      </c>
      <c r="B9" s="4" t="s">
        <v>41</v>
      </c>
      <c r="C9" s="4" t="s">
        <v>42</v>
      </c>
      <c r="D9" s="1" t="s">
        <v>43</v>
      </c>
      <c r="E9" s="2"/>
      <c r="F9" s="2"/>
    </row>
    <row r="10" spans="1:6" ht="43.8" customHeight="1" x14ac:dyDescent="0.3">
      <c r="A10" s="5" t="s">
        <v>44</v>
      </c>
      <c r="B10" s="4" t="s">
        <v>45</v>
      </c>
      <c r="C10" s="4" t="s">
        <v>46</v>
      </c>
      <c r="D10" s="1" t="s">
        <v>47</v>
      </c>
      <c r="E10" s="2"/>
      <c r="F10" s="2"/>
    </row>
    <row r="11" spans="1:6" ht="27.6" x14ac:dyDescent="0.3">
      <c r="A11" s="5" t="s">
        <v>48</v>
      </c>
      <c r="B11" s="4" t="s">
        <v>49</v>
      </c>
      <c r="C11" s="4" t="s">
        <v>50</v>
      </c>
      <c r="D11" s="1" t="s">
        <v>32</v>
      </c>
      <c r="E11" s="2"/>
      <c r="F11" s="2"/>
    </row>
    <row r="12" spans="1:6" ht="41.4" x14ac:dyDescent="0.3">
      <c r="A12" s="5" t="s">
        <v>51</v>
      </c>
      <c r="B12" s="4" t="s">
        <v>52</v>
      </c>
      <c r="C12" s="4" t="s">
        <v>53</v>
      </c>
      <c r="D12" s="1" t="s">
        <v>54</v>
      </c>
      <c r="E12" s="2"/>
      <c r="F12" s="2"/>
    </row>
    <row r="13" spans="1:6" ht="41.4" x14ac:dyDescent="0.3">
      <c r="A13" s="5" t="s">
        <v>55</v>
      </c>
      <c r="B13" s="4" t="s">
        <v>56</v>
      </c>
      <c r="C13" s="4" t="s">
        <v>57</v>
      </c>
      <c r="D13" s="1" t="s">
        <v>58</v>
      </c>
      <c r="E13" s="2"/>
      <c r="F13" s="2"/>
    </row>
    <row r="14" spans="1:6" ht="30" customHeight="1" x14ac:dyDescent="0.3">
      <c r="A14" s="5" t="s">
        <v>59</v>
      </c>
      <c r="B14" s="4" t="s">
        <v>60</v>
      </c>
      <c r="C14" s="4" t="s">
        <v>61</v>
      </c>
      <c r="D14" s="1" t="s">
        <v>62</v>
      </c>
      <c r="E14" s="2"/>
      <c r="F14" s="2"/>
    </row>
    <row r="15" spans="1:6" ht="43.2" customHeight="1" x14ac:dyDescent="0.3">
      <c r="A15" s="5" t="s">
        <v>63</v>
      </c>
      <c r="B15" s="4" t="s">
        <v>64</v>
      </c>
      <c r="C15" s="4" t="s">
        <v>65</v>
      </c>
      <c r="D15" s="1" t="s">
        <v>66</v>
      </c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ht="21.75" customHeight="1" x14ac:dyDescent="0.3">
      <c r="A17" s="12" t="s">
        <v>67</v>
      </c>
      <c r="B17" s="12"/>
      <c r="C17" s="12"/>
      <c r="D17" s="12"/>
      <c r="E17" s="12"/>
      <c r="F17" s="12"/>
    </row>
    <row r="18" spans="1:6" ht="60" customHeight="1" x14ac:dyDescent="0.3">
      <c r="A18" s="13" t="str">
        <f>IF(D9&amp;D10&amp;D11&amp;D12&amp;D13&amp;D14&amp;D15="","Complete las respuestas para generar la declaración de visión.",_xlfn.CONCAT("Para ",D9,", quienes ",D10,", el ",D11," es ",D12," que ",D13,". A diferencia de ",D14,", nuestro producto ",D15,"."))</f>
        <v>Para el personal operativo del Fondo de Pensiones (asesores de atención, analistas de beneficios, supervisores/gerencia y administradores del sistema) que atiende a 215,000 miembros, jubilados y beneficiarios, quienes necesitan centralizar el registro, asignación y seguimiento de solicitudes de afiliados, y consultar información consolidada del afiliado desde una sola pantalla, reduciendo el tiempo promedio de resolución en al menos un 50% respecto al proceso actual (SRS, OBJ-01 a OBJ-03), el Sistema de Atención Inteligente para Afiliados del Fondo de Pensiones es una aplicación web interna que opera dentro de la red institucional del fondo de pensiones e integra autenticación mediante el directorio institucional LDAP/Active Directory que centraliza la gestión de solicitudes, la consulta de información de afiliados y la generación de reportes operativos en una única plataforma. A diferencia de los procesos manuales actuales mediante hojas de cálculo, correo electrónico y un sistema legacy fragmentado (SRS, 2.1), nuestro producto reduce el tiempo promedio de resolución de solicitudes en al menos un 50%, provee información consolidada del afiliado desde una sola pantalla y genera reportes de atención en tiempo real para la toma de decisiones gerenciales (OBJ-02, OBJ-03, OBJ-04).</v>
      </c>
      <c r="B18" s="13"/>
      <c r="C18" s="13"/>
      <c r="D18" s="13"/>
      <c r="E18" s="13"/>
      <c r="F18" s="13"/>
    </row>
    <row r="19" spans="1:6" ht="60" customHeight="1" x14ac:dyDescent="0.3">
      <c r="A19" s="13"/>
      <c r="B19" s="13"/>
      <c r="C19" s="13"/>
      <c r="D19" s="13"/>
      <c r="E19" s="13"/>
      <c r="F19" s="13"/>
    </row>
    <row r="20" spans="1:6" ht="60" customHeight="1" x14ac:dyDescent="0.3">
      <c r="A20" s="13"/>
      <c r="B20" s="13"/>
      <c r="C20" s="13"/>
      <c r="D20" s="13"/>
      <c r="E20" s="13"/>
      <c r="F20" s="13"/>
    </row>
    <row r="21" spans="1:6" x14ac:dyDescent="0.3">
      <c r="A21" s="2"/>
      <c r="B21" s="2"/>
      <c r="C21" s="2"/>
      <c r="D21" s="2"/>
      <c r="E21" s="2"/>
      <c r="F21" s="2"/>
    </row>
    <row r="22" spans="1:6" ht="21.75" customHeight="1" x14ac:dyDescent="0.3">
      <c r="A22" s="11" t="s">
        <v>68</v>
      </c>
      <c r="B22" s="11"/>
      <c r="C22" s="11"/>
      <c r="D22" s="11"/>
      <c r="E22" s="11"/>
      <c r="F22" s="11"/>
    </row>
    <row r="23" spans="1:6" ht="30" customHeight="1" x14ac:dyDescent="0.3">
      <c r="A23" s="3" t="s">
        <v>69</v>
      </c>
      <c r="B23" s="3" t="s">
        <v>70</v>
      </c>
      <c r="C23" s="2"/>
      <c r="D23" s="2"/>
      <c r="E23" s="2"/>
      <c r="F23" s="2"/>
    </row>
    <row r="24" spans="1:6" ht="38.25" customHeight="1" x14ac:dyDescent="0.3">
      <c r="A24" s="4" t="s">
        <v>71</v>
      </c>
      <c r="B24" s="4" t="s">
        <v>72</v>
      </c>
      <c r="C24" s="2"/>
      <c r="D24" s="2"/>
      <c r="E24" s="2"/>
      <c r="F24" s="2"/>
    </row>
    <row r="25" spans="1:6" ht="38.25" customHeight="1" x14ac:dyDescent="0.3">
      <c r="A25" s="4" t="s">
        <v>73</v>
      </c>
      <c r="B25" s="4" t="s">
        <v>74</v>
      </c>
      <c r="C25" s="2"/>
      <c r="D25" s="2"/>
      <c r="E25" s="2"/>
      <c r="F25" s="2"/>
    </row>
    <row r="26" spans="1:6" ht="38.25" customHeight="1" x14ac:dyDescent="0.3">
      <c r="A26" s="4" t="s">
        <v>75</v>
      </c>
      <c r="B26" s="4" t="s">
        <v>76</v>
      </c>
      <c r="C26" s="2"/>
      <c r="D26" s="2"/>
      <c r="E26" s="2"/>
      <c r="F26" s="2"/>
    </row>
  </sheetData>
  <mergeCells count="10">
    <mergeCell ref="A7:F7"/>
    <mergeCell ref="A17:F17"/>
    <mergeCell ref="A18:F20"/>
    <mergeCell ref="A22:F22"/>
    <mergeCell ref="A1:F1"/>
    <mergeCell ref="A2:F2"/>
    <mergeCell ref="A4:B4"/>
    <mergeCell ref="C4:F4"/>
    <mergeCell ref="A5:B5"/>
    <mergeCell ref="C5:F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topLeftCell="F20" zoomScale="139" zoomScaleNormal="100" workbookViewId="0">
      <selection activeCell="I21" sqref="I21"/>
    </sheetView>
  </sheetViews>
  <sheetFormatPr baseColWidth="10" defaultColWidth="9" defaultRowHeight="14.4" x14ac:dyDescent="0.3"/>
  <cols>
    <col min="1" max="1" width="14" customWidth="1"/>
    <col min="2" max="2" width="28" customWidth="1"/>
    <col min="3" max="3" width="40" customWidth="1"/>
    <col min="4" max="4" width="36" customWidth="1"/>
    <col min="5" max="5" width="34" customWidth="1"/>
    <col min="6" max="6" width="30" customWidth="1"/>
    <col min="7" max="7" width="36" customWidth="1"/>
    <col min="8" max="8" width="34" customWidth="1"/>
    <col min="9" max="9" width="24" customWidth="1"/>
    <col min="10" max="10" width="36" customWidth="1"/>
    <col min="11" max="11" width="16" customWidth="1"/>
    <col min="12" max="12" width="14" customWidth="1"/>
  </cols>
  <sheetData>
    <row r="1" spans="1:12" ht="33.75" customHeight="1" x14ac:dyDescent="0.3">
      <c r="A1" s="9" t="s">
        <v>77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33.75" customHeight="1" x14ac:dyDescent="0.3">
      <c r="A2" s="10" t="s">
        <v>78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1.75" customHeight="1" x14ac:dyDescent="0.3">
      <c r="A4" s="11" t="s">
        <v>79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0" customHeight="1" x14ac:dyDescent="0.3">
      <c r="A5" s="3" t="s">
        <v>36</v>
      </c>
      <c r="B5" s="3" t="s">
        <v>37</v>
      </c>
      <c r="C5" s="3" t="s">
        <v>80</v>
      </c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5" t="s">
        <v>81</v>
      </c>
      <c r="B6" s="4" t="s">
        <v>82</v>
      </c>
      <c r="C6" s="4" t="s">
        <v>83</v>
      </c>
      <c r="D6" s="2"/>
      <c r="E6" s="2"/>
      <c r="F6" s="2"/>
      <c r="G6" s="2"/>
      <c r="H6" s="2"/>
      <c r="I6" s="2"/>
      <c r="J6" s="2"/>
      <c r="K6" s="2"/>
      <c r="L6" s="2"/>
    </row>
    <row r="7" spans="1:12" ht="25.5" customHeight="1" x14ac:dyDescent="0.3">
      <c r="A7" s="5" t="s">
        <v>84</v>
      </c>
      <c r="B7" s="4" t="s">
        <v>85</v>
      </c>
      <c r="C7" s="4" t="s">
        <v>86</v>
      </c>
      <c r="D7" s="2"/>
      <c r="E7" s="2"/>
      <c r="F7" s="2"/>
      <c r="G7" s="2"/>
      <c r="H7" s="2"/>
      <c r="I7" s="2"/>
      <c r="J7" s="2"/>
      <c r="K7" s="2"/>
      <c r="L7" s="2"/>
    </row>
    <row r="8" spans="1:12" ht="25.5" customHeight="1" x14ac:dyDescent="0.3">
      <c r="A8" s="5" t="s">
        <v>87</v>
      </c>
      <c r="B8" s="4" t="s">
        <v>88</v>
      </c>
      <c r="C8" s="4" t="s">
        <v>89</v>
      </c>
      <c r="D8" s="2"/>
      <c r="E8" s="2"/>
      <c r="F8" s="2"/>
      <c r="G8" s="2"/>
      <c r="H8" s="2"/>
      <c r="I8" s="2"/>
      <c r="J8" s="2"/>
      <c r="K8" s="2"/>
      <c r="L8" s="2"/>
    </row>
    <row r="9" spans="1:12" ht="25.5" customHeight="1" x14ac:dyDescent="0.3">
      <c r="A9" s="5" t="s">
        <v>90</v>
      </c>
      <c r="B9" s="4" t="s">
        <v>91</v>
      </c>
      <c r="C9" s="4" t="s">
        <v>92</v>
      </c>
      <c r="D9" s="2"/>
      <c r="E9" s="2"/>
      <c r="F9" s="2"/>
      <c r="G9" s="2"/>
      <c r="H9" s="2"/>
      <c r="I9" s="2"/>
      <c r="J9" s="2"/>
      <c r="K9" s="2"/>
      <c r="L9" s="2"/>
    </row>
    <row r="10" spans="1:12" ht="25.5" customHeight="1" x14ac:dyDescent="0.3">
      <c r="A10" s="5" t="s">
        <v>93</v>
      </c>
      <c r="B10" s="4" t="s">
        <v>94</v>
      </c>
      <c r="C10" s="4" t="s">
        <v>95</v>
      </c>
      <c r="D10" s="2"/>
      <c r="E10" s="2"/>
      <c r="F10" s="2"/>
      <c r="G10" s="2"/>
      <c r="H10" s="2"/>
      <c r="I10" s="2"/>
      <c r="J10" s="2"/>
      <c r="K10" s="2"/>
      <c r="L10" s="2"/>
    </row>
    <row r="11" spans="1:12" ht="25.5" customHeight="1" x14ac:dyDescent="0.3">
      <c r="A11" s="5" t="s">
        <v>96</v>
      </c>
      <c r="B11" s="4" t="s">
        <v>97</v>
      </c>
      <c r="C11" s="4" t="s">
        <v>98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ht="25.5" customHeight="1" x14ac:dyDescent="0.3">
      <c r="A12" s="5" t="s">
        <v>99</v>
      </c>
      <c r="B12" s="4" t="s">
        <v>100</v>
      </c>
      <c r="C12" s="4" t="s">
        <v>101</v>
      </c>
      <c r="D12" s="2"/>
      <c r="E12" s="2"/>
      <c r="F12" s="2"/>
      <c r="G12" s="2"/>
      <c r="H12" s="2"/>
      <c r="I12" s="2"/>
      <c r="J12" s="2"/>
      <c r="K12" s="2"/>
      <c r="L12" s="2"/>
    </row>
    <row r="13" spans="1:12" ht="25.5" customHeight="1" x14ac:dyDescent="0.3">
      <c r="A13" s="5" t="s">
        <v>102</v>
      </c>
      <c r="B13" s="4" t="s">
        <v>103</v>
      </c>
      <c r="C13" s="4" t="s">
        <v>104</v>
      </c>
      <c r="D13" s="2"/>
      <c r="E13" s="2"/>
      <c r="F13" s="2"/>
      <c r="G13" s="2"/>
      <c r="H13" s="2"/>
      <c r="I13" s="2"/>
      <c r="J13" s="2"/>
      <c r="K13" s="2"/>
      <c r="L13" s="2"/>
    </row>
    <row r="14" spans="1:12" ht="25.5" customHeight="1" x14ac:dyDescent="0.3">
      <c r="A14" s="5" t="s">
        <v>105</v>
      </c>
      <c r="B14" s="4" t="s">
        <v>106</v>
      </c>
      <c r="C14" s="4" t="s">
        <v>107</v>
      </c>
      <c r="D14" s="2"/>
      <c r="E14" s="2"/>
      <c r="F14" s="2"/>
      <c r="G14" s="2"/>
      <c r="H14" s="2"/>
      <c r="I14" s="2"/>
      <c r="J14" s="2"/>
      <c r="K14" s="2"/>
      <c r="L14" s="2"/>
    </row>
    <row r="15" spans="1:12" ht="38.25" customHeight="1" x14ac:dyDescent="0.3">
      <c r="A15" s="5" t="s">
        <v>108</v>
      </c>
      <c r="B15" s="4" t="s">
        <v>109</v>
      </c>
      <c r="C15" s="4" t="s">
        <v>110</v>
      </c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1.75" customHeight="1" x14ac:dyDescent="0.3">
      <c r="A17" s="12" t="s">
        <v>111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30" customHeight="1" x14ac:dyDescent="0.3">
      <c r="A18" s="3" t="s">
        <v>81</v>
      </c>
      <c r="B18" s="3" t="s">
        <v>84</v>
      </c>
      <c r="C18" s="3" t="s">
        <v>87</v>
      </c>
      <c r="D18" s="3" t="s">
        <v>90</v>
      </c>
      <c r="E18" s="3" t="s">
        <v>93</v>
      </c>
      <c r="F18" s="3" t="s">
        <v>96</v>
      </c>
      <c r="G18" s="3" t="s">
        <v>99</v>
      </c>
      <c r="H18" s="3" t="s">
        <v>102</v>
      </c>
      <c r="I18" s="3" t="s">
        <v>105</v>
      </c>
      <c r="J18" s="3" t="s">
        <v>108</v>
      </c>
      <c r="K18" s="3" t="s">
        <v>112</v>
      </c>
      <c r="L18" s="3" t="s">
        <v>113</v>
      </c>
    </row>
    <row r="19" spans="1:12" ht="110.4" x14ac:dyDescent="0.3">
      <c r="A19" s="6" t="s">
        <v>114</v>
      </c>
      <c r="B19" s="1" t="s">
        <v>115</v>
      </c>
      <c r="C19" s="1" t="s">
        <v>116</v>
      </c>
      <c r="D19" s="1" t="s">
        <v>117</v>
      </c>
      <c r="E19" s="1" t="s">
        <v>118</v>
      </c>
      <c r="F19" s="1" t="s">
        <v>119</v>
      </c>
      <c r="G19" s="1" t="s">
        <v>120</v>
      </c>
      <c r="H19" s="1" t="s">
        <v>121</v>
      </c>
      <c r="I19" s="1" t="s">
        <v>122</v>
      </c>
      <c r="J19" s="1" t="s">
        <v>123</v>
      </c>
      <c r="K19" s="7" t="s">
        <v>124</v>
      </c>
      <c r="L19" s="8">
        <f t="shared" ref="L19:L28" si="0">IF(A19="","",(IF(B19="",0,1)+IF(C19="",0,1)+IF(D19="",0,1)+IF(E19="",0,1)+IF(F19="",0,1)+IF(G19="",0,1)+IF(H19="",0,1)+IF(I19="",0,1)+IF(J19="",0,1))/9)</f>
        <v>1</v>
      </c>
    </row>
    <row r="20" spans="1:12" ht="110.4" x14ac:dyDescent="0.3">
      <c r="A20" s="6" t="s">
        <v>125</v>
      </c>
      <c r="B20" s="1" t="s">
        <v>126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131</v>
      </c>
      <c r="H20" s="1" t="s">
        <v>132</v>
      </c>
      <c r="I20" s="1" t="s">
        <v>133</v>
      </c>
      <c r="J20" s="1" t="s">
        <v>134</v>
      </c>
      <c r="K20" s="7" t="s">
        <v>124</v>
      </c>
      <c r="L20" s="8">
        <f t="shared" si="0"/>
        <v>1</v>
      </c>
    </row>
    <row r="21" spans="1:12" ht="96.6" x14ac:dyDescent="0.3">
      <c r="A21" s="6" t="s">
        <v>135</v>
      </c>
      <c r="B21" s="1" t="s">
        <v>136</v>
      </c>
      <c r="C21" s="1" t="s">
        <v>137</v>
      </c>
      <c r="D21" s="1" t="s">
        <v>138</v>
      </c>
      <c r="E21" s="1" t="s">
        <v>139</v>
      </c>
      <c r="F21" s="1" t="s">
        <v>140</v>
      </c>
      <c r="G21" s="1" t="s">
        <v>141</v>
      </c>
      <c r="H21" s="1" t="s">
        <v>142</v>
      </c>
      <c r="I21" s="1" t="s">
        <v>143</v>
      </c>
      <c r="J21" s="1" t="s">
        <v>144</v>
      </c>
      <c r="K21" s="7" t="s">
        <v>124</v>
      </c>
      <c r="L21" s="8">
        <f t="shared" si="0"/>
        <v>1</v>
      </c>
    </row>
    <row r="22" spans="1:12" ht="124.2" x14ac:dyDescent="0.3">
      <c r="A22" s="6" t="s">
        <v>145</v>
      </c>
      <c r="B22" s="1" t="s">
        <v>146</v>
      </c>
      <c r="C22" s="1" t="s">
        <v>147</v>
      </c>
      <c r="D22" s="1" t="s">
        <v>148</v>
      </c>
      <c r="E22" s="1" t="s">
        <v>149</v>
      </c>
      <c r="F22" s="1" t="s">
        <v>150</v>
      </c>
      <c r="G22" s="1" t="s">
        <v>151</v>
      </c>
      <c r="H22" s="1" t="s">
        <v>152</v>
      </c>
      <c r="I22" s="1" t="s">
        <v>153</v>
      </c>
      <c r="J22" s="1" t="s">
        <v>154</v>
      </c>
      <c r="K22" s="7" t="s">
        <v>124</v>
      </c>
      <c r="L22" s="8">
        <f t="shared" si="0"/>
        <v>1</v>
      </c>
    </row>
    <row r="23" spans="1:12" ht="138" x14ac:dyDescent="0.3">
      <c r="A23" s="6" t="s">
        <v>155</v>
      </c>
      <c r="B23" s="1" t="s">
        <v>156</v>
      </c>
      <c r="C23" s="1" t="s">
        <v>157</v>
      </c>
      <c r="D23" s="1" t="s">
        <v>158</v>
      </c>
      <c r="E23" s="1" t="s">
        <v>159</v>
      </c>
      <c r="F23" s="1" t="s">
        <v>160</v>
      </c>
      <c r="G23" s="1" t="s">
        <v>161</v>
      </c>
      <c r="H23" s="1" t="s">
        <v>162</v>
      </c>
      <c r="I23" s="1" t="s">
        <v>163</v>
      </c>
      <c r="J23" s="1" t="s">
        <v>164</v>
      </c>
      <c r="K23" s="7" t="s">
        <v>124</v>
      </c>
      <c r="L23" s="8">
        <f t="shared" si="0"/>
        <v>1</v>
      </c>
    </row>
    <row r="24" spans="1:12" ht="96.6" x14ac:dyDescent="0.3">
      <c r="A24" s="6" t="s">
        <v>165</v>
      </c>
      <c r="B24" s="1" t="s">
        <v>166</v>
      </c>
      <c r="C24" s="1" t="s">
        <v>167</v>
      </c>
      <c r="D24" s="1" t="s">
        <v>168</v>
      </c>
      <c r="E24" s="1" t="s">
        <v>169</v>
      </c>
      <c r="F24" s="1" t="s">
        <v>170</v>
      </c>
      <c r="G24" s="1" t="s">
        <v>171</v>
      </c>
      <c r="H24" s="1" t="s">
        <v>172</v>
      </c>
      <c r="I24" s="1" t="s">
        <v>173</v>
      </c>
      <c r="J24" s="1" t="s">
        <v>174</v>
      </c>
      <c r="K24" s="7" t="s">
        <v>124</v>
      </c>
      <c r="L24" s="8">
        <f t="shared" si="0"/>
        <v>1</v>
      </c>
    </row>
    <row r="25" spans="1:12" x14ac:dyDescent="0.3">
      <c r="A25" s="6" t="s">
        <v>175</v>
      </c>
      <c r="B25" s="1"/>
      <c r="C25" s="1"/>
      <c r="D25" s="1"/>
      <c r="E25" s="1"/>
      <c r="F25" s="1"/>
      <c r="G25" s="1"/>
      <c r="H25" s="1"/>
      <c r="I25" s="1"/>
      <c r="J25" s="1"/>
      <c r="K25" s="7" t="s">
        <v>176</v>
      </c>
      <c r="L25" s="8">
        <f t="shared" si="0"/>
        <v>0</v>
      </c>
    </row>
    <row r="26" spans="1:12" x14ac:dyDescent="0.3">
      <c r="A26" s="6" t="s">
        <v>177</v>
      </c>
      <c r="B26" s="1"/>
      <c r="C26" s="1"/>
      <c r="D26" s="1"/>
      <c r="E26" s="1"/>
      <c r="F26" s="1"/>
      <c r="G26" s="1"/>
      <c r="H26" s="1"/>
      <c r="I26" s="1"/>
      <c r="J26" s="1"/>
      <c r="K26" s="7" t="s">
        <v>176</v>
      </c>
      <c r="L26" s="8">
        <f t="shared" si="0"/>
        <v>0</v>
      </c>
    </row>
    <row r="27" spans="1:12" x14ac:dyDescent="0.3">
      <c r="A27" s="6" t="s">
        <v>178</v>
      </c>
      <c r="B27" s="1"/>
      <c r="C27" s="1"/>
      <c r="D27" s="1"/>
      <c r="E27" s="1"/>
      <c r="F27" s="1"/>
      <c r="G27" s="1"/>
      <c r="H27" s="1"/>
      <c r="I27" s="1"/>
      <c r="J27" s="1"/>
      <c r="K27" s="7" t="s">
        <v>176</v>
      </c>
      <c r="L27" s="8">
        <f t="shared" si="0"/>
        <v>0</v>
      </c>
    </row>
    <row r="28" spans="1:12" x14ac:dyDescent="0.3">
      <c r="A28" s="6" t="s">
        <v>179</v>
      </c>
      <c r="B28" s="1"/>
      <c r="C28" s="1"/>
      <c r="D28" s="1"/>
      <c r="E28" s="1"/>
      <c r="F28" s="1"/>
      <c r="G28" s="1"/>
      <c r="H28" s="1"/>
      <c r="I28" s="1"/>
      <c r="J28" s="1"/>
      <c r="K28" s="7" t="s">
        <v>176</v>
      </c>
      <c r="L28" s="8">
        <f t="shared" si="0"/>
        <v>0</v>
      </c>
    </row>
  </sheetData>
  <mergeCells count="4">
    <mergeCell ref="A1:L1"/>
    <mergeCell ref="A2:L2"/>
    <mergeCell ref="A4:L4"/>
    <mergeCell ref="A17:L17"/>
  </mergeCells>
  <conditionalFormatting sqref="L19:L28">
    <cfRule type="dataBar" priority="2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{18327011-86C6-458A-9583-126E9C3110A2}</x14:id>
        </ext>
      </extLst>
    </cfRule>
    <cfRule type="dataBar" priority="3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{C4C09180-CFF1-474C-9BCF-C3D7FE763425}</x14:id>
        </ext>
      </extLst>
    </cfRule>
  </conditionalFormatting>
  <dataValidations count="1">
    <dataValidation type="list" sqref="K19:K28" xr:uid="{00000000-0002-0000-0200-000000000000}">
      <formula1>"Borrador,Revisada,Aprobada,Descartada"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327011-86C6-458A-9583-126E9C3110A2}">
            <x14:dataBar axisPosition="none">
              <x14:cfvo type="min"/>
              <x14:cfvo type="max"/>
              <x14:negativeFillColor rgb="FF0F766E"/>
            </x14:dataBar>
          </x14:cfRule>
          <x14:cfRule type="dataBar" id="{C4C09180-CFF1-474C-9BCF-C3D7FE763425}">
            <x14:dataBar axisPosition="none">
              <x14:cfvo type="min"/>
              <x14:cfvo type="max"/>
              <x14:negativeFillColor rgb="FF0F766E"/>
            </x14:dataBar>
          </x14:cfRule>
          <xm:sqref>L19:L28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8"/>
  <sheetViews>
    <sheetView tabSelected="1" topLeftCell="B21" zoomScale="159" zoomScaleNormal="100" workbookViewId="0">
      <selection activeCell="K22" sqref="K22"/>
    </sheetView>
  </sheetViews>
  <sheetFormatPr baseColWidth="10" defaultColWidth="9" defaultRowHeight="14.4" x14ac:dyDescent="0.3"/>
  <cols>
    <col min="1" max="1" width="14" customWidth="1"/>
    <col min="2" max="2" width="30" customWidth="1"/>
    <col min="3" max="3" width="45" customWidth="1"/>
    <col min="4" max="4" width="36" customWidth="1"/>
    <col min="5" max="5" width="14" customWidth="1"/>
    <col min="6" max="6" width="30" customWidth="1"/>
    <col min="7" max="7" width="14" customWidth="1"/>
    <col min="8" max="8" width="45" customWidth="1"/>
    <col min="9" max="9" width="34" customWidth="1"/>
    <col min="10" max="10" width="36" customWidth="1"/>
    <col min="11" max="11" width="18" customWidth="1"/>
    <col min="12" max="12" width="16" customWidth="1"/>
    <col min="13" max="13" width="14" customWidth="1"/>
  </cols>
  <sheetData>
    <row r="1" spans="1:13" ht="33.75" customHeight="1" x14ac:dyDescent="0.3">
      <c r="A1" s="9" t="s">
        <v>180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33.75" customHeight="1" x14ac:dyDescent="0.3">
      <c r="A2" s="10" t="s">
        <v>181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21.75" customHeight="1" x14ac:dyDescent="0.3">
      <c r="A4" s="11" t="s">
        <v>79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30" customHeight="1" x14ac:dyDescent="0.3">
      <c r="A5" s="3" t="s">
        <v>36</v>
      </c>
      <c r="B5" s="3" t="s">
        <v>37</v>
      </c>
      <c r="C5" s="3" t="s">
        <v>80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5" t="s">
        <v>81</v>
      </c>
      <c r="B6" s="4" t="s">
        <v>82</v>
      </c>
      <c r="C6" s="4" t="s">
        <v>107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5" t="s">
        <v>182</v>
      </c>
      <c r="B7" s="4" t="s">
        <v>183</v>
      </c>
      <c r="C7" s="4" t="s">
        <v>184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25.5" customHeight="1" x14ac:dyDescent="0.3">
      <c r="A8" s="5" t="s">
        <v>185</v>
      </c>
      <c r="B8" s="4" t="s">
        <v>186</v>
      </c>
      <c r="C8" s="4" t="s">
        <v>187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25.5" customHeight="1" x14ac:dyDescent="0.3">
      <c r="A9" s="5" t="s">
        <v>188</v>
      </c>
      <c r="B9" s="4" t="s">
        <v>189</v>
      </c>
      <c r="C9" s="4" t="s">
        <v>190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27.6" x14ac:dyDescent="0.3">
      <c r="A10" s="5" t="s">
        <v>191</v>
      </c>
      <c r="B10" s="4" t="s">
        <v>192</v>
      </c>
      <c r="C10" s="4" t="s">
        <v>193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25.5" customHeight="1" x14ac:dyDescent="0.3">
      <c r="A11" s="5" t="s">
        <v>194</v>
      </c>
      <c r="B11" s="4" t="s">
        <v>195</v>
      </c>
      <c r="C11" s="4" t="s">
        <v>196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25.5" customHeight="1" x14ac:dyDescent="0.3">
      <c r="A12" s="5" t="s">
        <v>197</v>
      </c>
      <c r="B12" s="4" t="s">
        <v>198</v>
      </c>
      <c r="C12" s="4" t="s">
        <v>199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5.5" customHeight="1" x14ac:dyDescent="0.3">
      <c r="A13" s="5" t="s">
        <v>200</v>
      </c>
      <c r="B13" s="4" t="s">
        <v>201</v>
      </c>
      <c r="C13" s="4" t="s">
        <v>202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25.5" customHeight="1" x14ac:dyDescent="0.3">
      <c r="A14" s="5" t="s">
        <v>203</v>
      </c>
      <c r="B14" s="4" t="s">
        <v>204</v>
      </c>
      <c r="C14" s="4" t="s">
        <v>205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25.5" customHeight="1" x14ac:dyDescent="0.3">
      <c r="A15" s="5" t="s">
        <v>206</v>
      </c>
      <c r="B15" s="4" t="s">
        <v>207</v>
      </c>
      <c r="C15" s="4" t="s">
        <v>208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21.75" customHeight="1" x14ac:dyDescent="0.3">
      <c r="A17" s="12" t="s">
        <v>209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ht="30" customHeight="1" x14ac:dyDescent="0.3">
      <c r="A18" s="3" t="s">
        <v>81</v>
      </c>
      <c r="B18" s="3" t="s">
        <v>182</v>
      </c>
      <c r="C18" s="3" t="s">
        <v>185</v>
      </c>
      <c r="D18" s="3" t="s">
        <v>188</v>
      </c>
      <c r="E18" s="3" t="s">
        <v>191</v>
      </c>
      <c r="F18" s="3" t="s">
        <v>194</v>
      </c>
      <c r="G18" s="3" t="s">
        <v>197</v>
      </c>
      <c r="H18" s="3" t="s">
        <v>200</v>
      </c>
      <c r="I18" s="3" t="s">
        <v>203</v>
      </c>
      <c r="J18" s="3" t="s">
        <v>206</v>
      </c>
      <c r="K18" s="3" t="s">
        <v>210</v>
      </c>
      <c r="L18" s="3" t="s">
        <v>112</v>
      </c>
      <c r="M18" s="3" t="s">
        <v>113</v>
      </c>
    </row>
    <row r="19" spans="1:13" ht="82.8" x14ac:dyDescent="0.3">
      <c r="A19" s="6" t="s">
        <v>211</v>
      </c>
      <c r="B19" s="1" t="s">
        <v>212</v>
      </c>
      <c r="C19" s="1" t="s">
        <v>213</v>
      </c>
      <c r="D19" s="1" t="s">
        <v>214</v>
      </c>
      <c r="E19" s="7" t="s">
        <v>215</v>
      </c>
      <c r="F19" s="1" t="s">
        <v>216</v>
      </c>
      <c r="G19" s="7" t="s">
        <v>217</v>
      </c>
      <c r="H19" s="1" t="s">
        <v>218</v>
      </c>
      <c r="I19" s="1" t="s">
        <v>219</v>
      </c>
      <c r="J19" s="1" t="s">
        <v>220</v>
      </c>
      <c r="K19" s="7" t="s">
        <v>135</v>
      </c>
      <c r="L19" s="7" t="s">
        <v>124</v>
      </c>
      <c r="M19" s="8">
        <f t="shared" ref="M19:M38" si="0">IF(A19="","",(IF(B19="",0,1)+IF(C19="",0,1)+IF(D19="",0,1)+IF(E19="",0,1)+IF(F19="",0,1)+IF(G19="",0,1)+IF(H19="",0,1)+IF(I19="",0,1)+IF(J19="",0,1)+IF(K19="",0,1))/10)</f>
        <v>1</v>
      </c>
    </row>
    <row r="20" spans="1:13" ht="96.6" x14ac:dyDescent="0.3">
      <c r="A20" s="6" t="s">
        <v>221</v>
      </c>
      <c r="B20" s="1" t="s">
        <v>222</v>
      </c>
      <c r="C20" s="1" t="s">
        <v>223</v>
      </c>
      <c r="D20" s="1" t="s">
        <v>224</v>
      </c>
      <c r="E20" s="7" t="s">
        <v>215</v>
      </c>
      <c r="F20" s="1" t="s">
        <v>225</v>
      </c>
      <c r="G20" s="7" t="s">
        <v>217</v>
      </c>
      <c r="H20" s="1" t="s">
        <v>226</v>
      </c>
      <c r="I20" s="1" t="s">
        <v>227</v>
      </c>
      <c r="J20" s="1" t="s">
        <v>228</v>
      </c>
      <c r="K20" s="7" t="s">
        <v>145</v>
      </c>
      <c r="L20" s="7" t="s">
        <v>124</v>
      </c>
      <c r="M20" s="8">
        <f t="shared" si="0"/>
        <v>1</v>
      </c>
    </row>
    <row r="21" spans="1:13" ht="69" x14ac:dyDescent="0.3">
      <c r="A21" s="6" t="s">
        <v>229</v>
      </c>
      <c r="B21" s="1" t="s">
        <v>230</v>
      </c>
      <c r="C21" s="1" t="s">
        <v>231</v>
      </c>
      <c r="D21" s="1" t="s">
        <v>232</v>
      </c>
      <c r="E21" s="7" t="s">
        <v>215</v>
      </c>
      <c r="F21" s="1" t="s">
        <v>233</v>
      </c>
      <c r="G21" s="7" t="s">
        <v>234</v>
      </c>
      <c r="H21" s="1" t="s">
        <v>235</v>
      </c>
      <c r="I21" s="1" t="s">
        <v>236</v>
      </c>
      <c r="J21" s="1" t="s">
        <v>237</v>
      </c>
      <c r="K21" s="7" t="s">
        <v>155</v>
      </c>
      <c r="L21" s="7" t="s">
        <v>124</v>
      </c>
      <c r="M21" s="8">
        <f t="shared" si="0"/>
        <v>1</v>
      </c>
    </row>
    <row r="22" spans="1:13" ht="69" x14ac:dyDescent="0.3">
      <c r="A22" s="6" t="s">
        <v>238</v>
      </c>
      <c r="B22" s="1" t="s">
        <v>239</v>
      </c>
      <c r="C22" s="1" t="s">
        <v>240</v>
      </c>
      <c r="D22" s="1" t="s">
        <v>241</v>
      </c>
      <c r="E22" s="7" t="s">
        <v>215</v>
      </c>
      <c r="F22" s="1" t="s">
        <v>242</v>
      </c>
      <c r="G22" s="7" t="s">
        <v>217</v>
      </c>
      <c r="H22" s="1" t="s">
        <v>243</v>
      </c>
      <c r="I22" s="1" t="s">
        <v>244</v>
      </c>
      <c r="J22" s="1" t="s">
        <v>245</v>
      </c>
      <c r="K22" s="7" t="s">
        <v>135</v>
      </c>
      <c r="L22" s="7" t="s">
        <v>124</v>
      </c>
      <c r="M22" s="8">
        <f t="shared" si="0"/>
        <v>1</v>
      </c>
    </row>
    <row r="23" spans="1:13" ht="69" x14ac:dyDescent="0.3">
      <c r="A23" s="6" t="s">
        <v>246</v>
      </c>
      <c r="B23" s="1" t="s">
        <v>247</v>
      </c>
      <c r="C23" s="1" t="s">
        <v>248</v>
      </c>
      <c r="D23" s="1" t="s">
        <v>249</v>
      </c>
      <c r="E23" s="7" t="s">
        <v>215</v>
      </c>
      <c r="F23" s="1" t="s">
        <v>250</v>
      </c>
      <c r="G23" s="7" t="s">
        <v>234</v>
      </c>
      <c r="H23" s="1" t="s">
        <v>251</v>
      </c>
      <c r="I23" s="1" t="s">
        <v>252</v>
      </c>
      <c r="J23" s="1" t="s">
        <v>253</v>
      </c>
      <c r="K23" s="7" t="s">
        <v>155</v>
      </c>
      <c r="L23" s="7" t="s">
        <v>124</v>
      </c>
      <c r="M23" s="8">
        <f t="shared" si="0"/>
        <v>1</v>
      </c>
    </row>
    <row r="24" spans="1:13" ht="110.4" x14ac:dyDescent="0.3">
      <c r="A24" s="6" t="s">
        <v>254</v>
      </c>
      <c r="B24" s="1" t="s">
        <v>255</v>
      </c>
      <c r="C24" s="1" t="s">
        <v>256</v>
      </c>
      <c r="D24" s="1" t="s">
        <v>257</v>
      </c>
      <c r="E24" s="7" t="s">
        <v>215</v>
      </c>
      <c r="F24" s="1" t="s">
        <v>258</v>
      </c>
      <c r="G24" s="7" t="s">
        <v>259</v>
      </c>
      <c r="H24" s="1" t="s">
        <v>260</v>
      </c>
      <c r="I24" s="1" t="s">
        <v>261</v>
      </c>
      <c r="J24" s="1" t="s">
        <v>262</v>
      </c>
      <c r="K24" s="7" t="s">
        <v>165</v>
      </c>
      <c r="L24" s="7" t="s">
        <v>124</v>
      </c>
      <c r="M24" s="8">
        <f t="shared" si="0"/>
        <v>1</v>
      </c>
    </row>
    <row r="25" spans="1:13" ht="69" x14ac:dyDescent="0.3">
      <c r="A25" s="6" t="s">
        <v>263</v>
      </c>
      <c r="B25" s="1" t="s">
        <v>264</v>
      </c>
      <c r="C25" s="1" t="s">
        <v>265</v>
      </c>
      <c r="D25" s="1" t="s">
        <v>266</v>
      </c>
      <c r="E25" s="7" t="s">
        <v>267</v>
      </c>
      <c r="F25" s="1" t="s">
        <v>268</v>
      </c>
      <c r="G25" s="7" t="s">
        <v>234</v>
      </c>
      <c r="H25" s="1" t="s">
        <v>269</v>
      </c>
      <c r="I25" s="1" t="s">
        <v>270</v>
      </c>
      <c r="J25" s="1" t="s">
        <v>271</v>
      </c>
      <c r="K25" s="7" t="s">
        <v>145</v>
      </c>
      <c r="L25" s="7" t="s">
        <v>124</v>
      </c>
      <c r="M25" s="8">
        <f t="shared" si="0"/>
        <v>1</v>
      </c>
    </row>
    <row r="26" spans="1:13" ht="69" x14ac:dyDescent="0.3">
      <c r="A26" s="6" t="s">
        <v>133</v>
      </c>
      <c r="B26" s="1" t="s">
        <v>272</v>
      </c>
      <c r="C26" s="1" t="s">
        <v>273</v>
      </c>
      <c r="D26" s="1" t="s">
        <v>274</v>
      </c>
      <c r="E26" s="7" t="s">
        <v>215</v>
      </c>
      <c r="F26" s="1" t="s">
        <v>275</v>
      </c>
      <c r="G26" s="7" t="s">
        <v>217</v>
      </c>
      <c r="H26" s="1" t="s">
        <v>276</v>
      </c>
      <c r="I26" s="1" t="s">
        <v>277</v>
      </c>
      <c r="J26" s="1" t="s">
        <v>278</v>
      </c>
      <c r="K26" s="7" t="s">
        <v>125</v>
      </c>
      <c r="L26" s="7" t="s">
        <v>124</v>
      </c>
      <c r="M26" s="8">
        <f t="shared" si="0"/>
        <v>1</v>
      </c>
    </row>
    <row r="27" spans="1:13" ht="69" x14ac:dyDescent="0.3">
      <c r="A27" s="6" t="s">
        <v>279</v>
      </c>
      <c r="B27" s="1" t="s">
        <v>280</v>
      </c>
      <c r="C27" s="1" t="s">
        <v>281</v>
      </c>
      <c r="D27" s="1" t="s">
        <v>282</v>
      </c>
      <c r="E27" s="7" t="s">
        <v>267</v>
      </c>
      <c r="F27" s="1" t="s">
        <v>283</v>
      </c>
      <c r="G27" s="7" t="s">
        <v>234</v>
      </c>
      <c r="H27" s="1" t="s">
        <v>284</v>
      </c>
      <c r="I27" s="1" t="s">
        <v>285</v>
      </c>
      <c r="J27" s="1" t="s">
        <v>286</v>
      </c>
      <c r="K27" s="7" t="s">
        <v>155</v>
      </c>
      <c r="L27" s="7" t="s">
        <v>124</v>
      </c>
      <c r="M27" s="8">
        <f t="shared" si="0"/>
        <v>1</v>
      </c>
    </row>
    <row r="28" spans="1:13" ht="82.8" x14ac:dyDescent="0.3">
      <c r="A28" s="6" t="s">
        <v>122</v>
      </c>
      <c r="B28" s="1" t="s">
        <v>287</v>
      </c>
      <c r="C28" s="1" t="s">
        <v>288</v>
      </c>
      <c r="D28" s="1" t="s">
        <v>289</v>
      </c>
      <c r="E28" s="7" t="s">
        <v>215</v>
      </c>
      <c r="F28" s="1" t="s">
        <v>290</v>
      </c>
      <c r="G28" s="7" t="s">
        <v>234</v>
      </c>
      <c r="H28" s="1" t="s">
        <v>291</v>
      </c>
      <c r="I28" s="1" t="s">
        <v>292</v>
      </c>
      <c r="J28" s="1" t="s">
        <v>293</v>
      </c>
      <c r="K28" s="7" t="s">
        <v>114</v>
      </c>
      <c r="L28" s="7" t="s">
        <v>124</v>
      </c>
      <c r="M28" s="8">
        <f t="shared" si="0"/>
        <v>1</v>
      </c>
    </row>
    <row r="29" spans="1:13" ht="69" x14ac:dyDescent="0.3">
      <c r="A29" s="6" t="s">
        <v>294</v>
      </c>
      <c r="B29" s="1" t="s">
        <v>295</v>
      </c>
      <c r="C29" s="1" t="s">
        <v>296</v>
      </c>
      <c r="D29" s="1" t="s">
        <v>297</v>
      </c>
      <c r="E29" s="7" t="s">
        <v>267</v>
      </c>
      <c r="F29" s="1" t="s">
        <v>298</v>
      </c>
      <c r="G29" s="7" t="s">
        <v>217</v>
      </c>
      <c r="H29" s="1" t="s">
        <v>299</v>
      </c>
      <c r="I29" s="1" t="s">
        <v>300</v>
      </c>
      <c r="J29" s="1" t="s">
        <v>301</v>
      </c>
      <c r="K29" s="7" t="s">
        <v>165</v>
      </c>
      <c r="L29" s="7" t="s">
        <v>124</v>
      </c>
      <c r="M29" s="8">
        <f t="shared" si="0"/>
        <v>1</v>
      </c>
    </row>
    <row r="30" spans="1:13" ht="82.8" x14ac:dyDescent="0.3">
      <c r="A30" s="6" t="s">
        <v>302</v>
      </c>
      <c r="B30" s="1" t="s">
        <v>303</v>
      </c>
      <c r="C30" s="1" t="s">
        <v>304</v>
      </c>
      <c r="D30" s="1" t="s">
        <v>305</v>
      </c>
      <c r="E30" s="7" t="s">
        <v>267</v>
      </c>
      <c r="F30" s="1" t="s">
        <v>306</v>
      </c>
      <c r="G30" s="7" t="s">
        <v>307</v>
      </c>
      <c r="H30" s="1" t="s">
        <v>308</v>
      </c>
      <c r="I30" s="1" t="s">
        <v>309</v>
      </c>
      <c r="J30" s="1" t="s">
        <v>310</v>
      </c>
      <c r="K30" s="7" t="s">
        <v>155</v>
      </c>
      <c r="L30" s="7" t="s">
        <v>124</v>
      </c>
      <c r="M30" s="8">
        <f t="shared" si="0"/>
        <v>1</v>
      </c>
    </row>
    <row r="31" spans="1:13" x14ac:dyDescent="0.3">
      <c r="A31" s="6"/>
      <c r="B31" s="1"/>
      <c r="C31" s="1"/>
      <c r="D31" s="1"/>
      <c r="E31" s="7"/>
      <c r="F31" s="1"/>
      <c r="G31" s="7"/>
      <c r="H31" s="1"/>
      <c r="I31" s="1"/>
      <c r="J31" s="1"/>
      <c r="K31" s="7"/>
      <c r="L31" s="7"/>
      <c r="M31" s="8" t="str">
        <f t="shared" si="0"/>
        <v/>
      </c>
    </row>
    <row r="32" spans="1:13" x14ac:dyDescent="0.3">
      <c r="A32" s="6"/>
      <c r="B32" s="1"/>
      <c r="C32" s="1"/>
      <c r="D32" s="1"/>
      <c r="E32" s="7"/>
      <c r="F32" s="1"/>
      <c r="G32" s="7"/>
      <c r="H32" s="1"/>
      <c r="I32" s="1"/>
      <c r="J32" s="1"/>
      <c r="K32" s="7"/>
      <c r="L32" s="7"/>
      <c r="M32" s="8" t="str">
        <f t="shared" si="0"/>
        <v/>
      </c>
    </row>
    <row r="33" spans="1:13" x14ac:dyDescent="0.3">
      <c r="A33" s="6"/>
      <c r="B33" s="1"/>
      <c r="C33" s="1"/>
      <c r="D33" s="1"/>
      <c r="E33" s="7"/>
      <c r="F33" s="1"/>
      <c r="G33" s="7"/>
      <c r="H33" s="1"/>
      <c r="I33" s="1"/>
      <c r="J33" s="1"/>
      <c r="K33" s="7"/>
      <c r="L33" s="7"/>
      <c r="M33" s="8" t="str">
        <f t="shared" si="0"/>
        <v/>
      </c>
    </row>
    <row r="34" spans="1:13" x14ac:dyDescent="0.3">
      <c r="A34" s="6"/>
      <c r="B34" s="1"/>
      <c r="C34" s="1"/>
      <c r="D34" s="1"/>
      <c r="E34" s="7"/>
      <c r="F34" s="1"/>
      <c r="G34" s="7"/>
      <c r="H34" s="1"/>
      <c r="I34" s="1"/>
      <c r="J34" s="1"/>
      <c r="K34" s="7"/>
      <c r="L34" s="7"/>
      <c r="M34" s="8" t="str">
        <f t="shared" si="0"/>
        <v/>
      </c>
    </row>
    <row r="35" spans="1:13" x14ac:dyDescent="0.3">
      <c r="A35" s="6"/>
      <c r="B35" s="1"/>
      <c r="C35" s="1"/>
      <c r="D35" s="1"/>
      <c r="E35" s="7"/>
      <c r="F35" s="1"/>
      <c r="G35" s="7"/>
      <c r="H35" s="1"/>
      <c r="I35" s="1"/>
      <c r="J35" s="1"/>
      <c r="K35" s="7"/>
      <c r="L35" s="7"/>
      <c r="M35" s="8" t="str">
        <f t="shared" si="0"/>
        <v/>
      </c>
    </row>
    <row r="36" spans="1:13" x14ac:dyDescent="0.3">
      <c r="A36" s="6"/>
      <c r="B36" s="1"/>
      <c r="C36" s="1"/>
      <c r="D36" s="1"/>
      <c r="E36" s="7"/>
      <c r="F36" s="1"/>
      <c r="G36" s="7"/>
      <c r="H36" s="1"/>
      <c r="I36" s="1"/>
      <c r="J36" s="1"/>
      <c r="K36" s="7"/>
      <c r="L36" s="7"/>
      <c r="M36" s="8" t="str">
        <f t="shared" si="0"/>
        <v/>
      </c>
    </row>
    <row r="37" spans="1:13" x14ac:dyDescent="0.3">
      <c r="A37" s="6"/>
      <c r="B37" s="1"/>
      <c r="C37" s="1"/>
      <c r="D37" s="1"/>
      <c r="E37" s="7"/>
      <c r="F37" s="1"/>
      <c r="G37" s="7"/>
      <c r="H37" s="1"/>
      <c r="I37" s="1"/>
      <c r="J37" s="1"/>
      <c r="K37" s="7"/>
      <c r="L37" s="7"/>
      <c r="M37" s="8" t="str">
        <f t="shared" si="0"/>
        <v/>
      </c>
    </row>
    <row r="38" spans="1:13" x14ac:dyDescent="0.3">
      <c r="A38" s="6"/>
      <c r="B38" s="1"/>
      <c r="C38" s="1"/>
      <c r="D38" s="1"/>
      <c r="E38" s="7"/>
      <c r="F38" s="1"/>
      <c r="G38" s="7"/>
      <c r="H38" s="1"/>
      <c r="I38" s="1"/>
      <c r="J38" s="1"/>
      <c r="K38" s="7"/>
      <c r="L38" s="7"/>
      <c r="M38" s="8" t="str">
        <f t="shared" si="0"/>
        <v/>
      </c>
    </row>
  </sheetData>
  <mergeCells count="4">
    <mergeCell ref="A1:M1"/>
    <mergeCell ref="A2:M2"/>
    <mergeCell ref="A4:M4"/>
    <mergeCell ref="A17:M17"/>
  </mergeCells>
  <conditionalFormatting sqref="M19:M38">
    <cfRule type="dataBar" priority="2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{A8559995-E5BD-4DAC-8797-B62469732D62}</x14:id>
        </ext>
      </extLst>
    </cfRule>
    <cfRule type="dataBar" priority="3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{E32153D0-60BE-4A39-B062-FCADA1887DAB}</x14:id>
        </ext>
      </extLst>
    </cfRule>
  </conditionalFormatting>
  <dataValidations count="4">
    <dataValidation type="list" sqref="E19:E38" xr:uid="{00000000-0002-0000-0300-000000000000}">
      <formula1>"Alta,Media,Baja"</formula1>
      <formula2>0</formula2>
    </dataValidation>
    <dataValidation type="list" sqref="G19:G38" xr:uid="{00000000-0002-0000-0300-000001000000}">
      <formula1>"1,2,3,5,8,13"</formula1>
      <formula2>0</formula2>
    </dataValidation>
    <dataValidation type="list" sqref="K19:K38" xr:uid="{00000000-0002-0000-0300-000002000000}">
      <formula1>"EP-01,EP-02,EP-03,EP-04,EP-05,EP-06,EP-07,EP-08,EP-09,EP-10"</formula1>
      <formula2>0</formula2>
    </dataValidation>
    <dataValidation type="list" sqref="L19:L38" xr:uid="{00000000-0002-0000-0300-000003000000}">
      <formula1>"Borrador,Revisada,Aprobada,Descartada"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559995-E5BD-4DAC-8797-B62469732D62}">
            <x14:dataBar axisPosition="none">
              <x14:cfvo type="min"/>
              <x14:cfvo type="max"/>
              <x14:negativeFillColor rgb="FF0F766E"/>
            </x14:dataBar>
          </x14:cfRule>
          <x14:cfRule type="dataBar" id="{E32153D0-60BE-4A39-B062-FCADA1887DAB}">
            <x14:dataBar axisPosition="none">
              <x14:cfvo type="min"/>
              <x14:cfvo type="max"/>
              <x14:negativeFillColor rgb="FF0F766E"/>
            </x14:dataBar>
          </x14:cfRule>
          <xm:sqref>M19:M38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>
      <selection activeCell="E19" sqref="E19"/>
    </sheetView>
  </sheetViews>
  <sheetFormatPr baseColWidth="10" defaultColWidth="9" defaultRowHeight="14.4" x14ac:dyDescent="0.3"/>
  <cols>
    <col min="1" max="3" width="18" customWidth="1"/>
    <col min="4" max="5" width="22" customWidth="1"/>
    <col min="6" max="6" width="55" customWidth="1"/>
  </cols>
  <sheetData>
    <row r="1" spans="1:6" ht="33.75" customHeight="1" x14ac:dyDescent="0.3">
      <c r="A1" s="17" t="s">
        <v>311</v>
      </c>
      <c r="B1" s="17"/>
      <c r="C1" s="17"/>
      <c r="D1" s="17"/>
      <c r="E1" s="17"/>
      <c r="F1" s="17"/>
    </row>
    <row r="2" spans="1:6" x14ac:dyDescent="0.3">
      <c r="A2" s="2"/>
      <c r="B2" s="2"/>
      <c r="C2" s="2"/>
      <c r="D2" s="2"/>
      <c r="E2" s="2"/>
      <c r="F2" s="2"/>
    </row>
    <row r="3" spans="1:6" ht="30" customHeight="1" x14ac:dyDescent="0.3">
      <c r="A3" s="3" t="s">
        <v>191</v>
      </c>
      <c r="B3" s="3" t="s">
        <v>112</v>
      </c>
      <c r="C3" s="3" t="s">
        <v>197</v>
      </c>
      <c r="D3" s="3" t="s">
        <v>312</v>
      </c>
      <c r="E3" s="3" t="s">
        <v>313</v>
      </c>
      <c r="F3" s="3" t="s">
        <v>314</v>
      </c>
    </row>
    <row r="4" spans="1:6" x14ac:dyDescent="0.3">
      <c r="A4" s="4" t="s">
        <v>215</v>
      </c>
      <c r="B4" s="4" t="s">
        <v>176</v>
      </c>
      <c r="C4" s="4" t="s">
        <v>315</v>
      </c>
      <c r="D4" s="4" t="s">
        <v>114</v>
      </c>
      <c r="E4" s="4" t="s">
        <v>316</v>
      </c>
      <c r="F4" s="4" t="s">
        <v>317</v>
      </c>
    </row>
    <row r="5" spans="1:6" x14ac:dyDescent="0.3">
      <c r="A5" s="4" t="s">
        <v>267</v>
      </c>
      <c r="B5" s="4" t="s">
        <v>318</v>
      </c>
      <c r="C5" s="4" t="s">
        <v>319</v>
      </c>
      <c r="D5" s="4" t="s">
        <v>125</v>
      </c>
      <c r="E5" s="4" t="s">
        <v>320</v>
      </c>
      <c r="F5" s="4" t="s">
        <v>321</v>
      </c>
    </row>
    <row r="6" spans="1:6" x14ac:dyDescent="0.3">
      <c r="A6" s="4" t="s">
        <v>322</v>
      </c>
      <c r="B6" s="4" t="s">
        <v>323</v>
      </c>
      <c r="C6" s="4" t="s">
        <v>324</v>
      </c>
      <c r="D6" s="4" t="s">
        <v>135</v>
      </c>
      <c r="E6" s="4" t="s">
        <v>197</v>
      </c>
      <c r="F6" s="4" t="s">
        <v>325</v>
      </c>
    </row>
    <row r="7" spans="1:6" x14ac:dyDescent="0.3">
      <c r="A7" s="4"/>
      <c r="B7" s="4" t="s">
        <v>326</v>
      </c>
      <c r="C7" s="4" t="s">
        <v>327</v>
      </c>
      <c r="D7" s="4" t="s">
        <v>145</v>
      </c>
      <c r="E7" s="4" t="s">
        <v>21</v>
      </c>
      <c r="F7" s="4" t="s">
        <v>328</v>
      </c>
    </row>
    <row r="8" spans="1:6" x14ac:dyDescent="0.3">
      <c r="A8" s="4"/>
      <c r="B8" s="4"/>
      <c r="C8" s="4" t="s">
        <v>329</v>
      </c>
      <c r="D8" s="4" t="s">
        <v>155</v>
      </c>
      <c r="E8" s="4"/>
      <c r="F8" s="4"/>
    </row>
    <row r="9" spans="1:6" x14ac:dyDescent="0.3">
      <c r="A9" s="4"/>
      <c r="B9" s="4"/>
      <c r="C9" s="4" t="s">
        <v>330</v>
      </c>
      <c r="D9" s="4" t="s">
        <v>165</v>
      </c>
      <c r="E9" s="4"/>
      <c r="F9" s="4"/>
    </row>
    <row r="10" spans="1:6" x14ac:dyDescent="0.3">
      <c r="A10" s="4"/>
      <c r="B10" s="4"/>
      <c r="C10" s="4"/>
      <c r="D10" s="4" t="s">
        <v>175</v>
      </c>
      <c r="E10" s="4"/>
      <c r="F10" s="4"/>
    </row>
    <row r="11" spans="1:6" x14ac:dyDescent="0.3">
      <c r="A11" s="4"/>
      <c r="B11" s="4"/>
      <c r="C11" s="4"/>
      <c r="D11" s="4" t="s">
        <v>177</v>
      </c>
      <c r="E11" s="4"/>
      <c r="F11" s="4"/>
    </row>
    <row r="12" spans="1:6" x14ac:dyDescent="0.3">
      <c r="A12" s="4"/>
      <c r="B12" s="4"/>
      <c r="C12" s="4"/>
      <c r="D12" s="4" t="s">
        <v>178</v>
      </c>
      <c r="E12" s="4"/>
      <c r="F12" s="4"/>
    </row>
    <row r="13" spans="1:6" x14ac:dyDescent="0.3">
      <c r="A13" s="4"/>
      <c r="B13" s="4"/>
      <c r="C13" s="4"/>
      <c r="D13" s="4" t="s">
        <v>179</v>
      </c>
      <c r="E13" s="4"/>
      <c r="F13" s="4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Visión</vt:lpstr>
      <vt:lpstr>Épicas</vt:lpstr>
      <vt:lpstr>Historias de usuario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JEIMY ALEXANDRA TORRES GALVAN</cp:lastModifiedBy>
  <cp:revision>0</cp:revision>
  <dcterms:created xsi:type="dcterms:W3CDTF">2026-06-29T15:53:46Z</dcterms:created>
  <dcterms:modified xsi:type="dcterms:W3CDTF">2026-07-22T13:32:01Z</dcterms:modified>
  <dc:language>en-US</dc:language>
</cp:coreProperties>
</file>